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santhosh sekar\Downloads\"/>
    </mc:Choice>
  </mc:AlternateContent>
  <xr:revisionPtr revIDLastSave="0" documentId="8_{BF939D1E-2DB3-40C8-AF54-C73810518EF9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Equipment Summary" sheetId="9" r:id="rId1"/>
    <sheet name="Terminal_Details" sheetId="1" r:id="rId2"/>
    <sheet name="Name_Handler" sheetId="8" r:id="rId3"/>
    <sheet name="Condenser_pump" sheetId="5" r:id="rId4"/>
    <sheet name="Chiller" sheetId="2" r:id="rId5"/>
    <sheet name="Header" sheetId="3" r:id="rId6"/>
    <sheet name="Exhaust_Fan" sheetId="7" r:id="rId7"/>
    <sheet name="Cooling_Tower" sheetId="6" r:id="rId8"/>
    <sheet name="Primary_pump" sheetId="4" r:id="rId9"/>
  </sheets>
  <definedNames>
    <definedName name="_xlnm._FilterDatabase" localSheetId="2" hidden="1">Name_Handler!$A$1:$P$312</definedName>
    <definedName name="_xlnm._FilterDatabase" localSheetId="8" hidden="1">Primary_pump!$A$1:$B$7</definedName>
    <definedName name="_xlnm._FilterDatabase" localSheetId="1" hidden="1">Terminal_Details!$A$1:$L$201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4" i="8" l="1"/>
  <c r="M293" i="8"/>
  <c r="M292" i="8"/>
  <c r="M291" i="8"/>
  <c r="M290" i="8"/>
  <c r="M289" i="8"/>
  <c r="M288" i="8"/>
  <c r="M287" i="8"/>
  <c r="M286" i="8"/>
  <c r="M285" i="8"/>
  <c r="M284" i="8"/>
  <c r="M283" i="8"/>
  <c r="M153" i="8"/>
  <c r="M152" i="8"/>
  <c r="M151" i="8"/>
  <c r="M150" i="8"/>
  <c r="M147" i="8"/>
  <c r="M146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271" i="8"/>
  <c r="M148" i="8"/>
  <c r="M144" i="8"/>
  <c r="M112" i="8"/>
  <c r="M106" i="8"/>
  <c r="M94" i="8"/>
  <c r="M90" i="8"/>
  <c r="M83" i="8"/>
  <c r="M82" i="8"/>
  <c r="M120" i="8"/>
  <c r="M149" i="8"/>
  <c r="M145" i="8"/>
  <c r="M107" i="8"/>
  <c r="M91" i="8"/>
  <c r="M312" i="8"/>
  <c r="H312" i="8"/>
  <c r="M311" i="8"/>
  <c r="H311" i="8"/>
  <c r="M310" i="8"/>
  <c r="H310" i="8"/>
  <c r="M309" i="8"/>
  <c r="H309" i="8"/>
  <c r="M308" i="8"/>
  <c r="H308" i="8"/>
  <c r="M307" i="8"/>
  <c r="H307" i="8"/>
  <c r="M306" i="8"/>
  <c r="H306" i="8"/>
  <c r="N306" i="8" s="1"/>
  <c r="M305" i="8"/>
  <c r="H305" i="8"/>
  <c r="N305" i="8" s="1"/>
  <c r="M304" i="8"/>
  <c r="H304" i="8"/>
  <c r="N304" i="8" s="1"/>
  <c r="M303" i="8"/>
  <c r="H303" i="8"/>
  <c r="N303" i="8" s="1"/>
  <c r="M302" i="8"/>
  <c r="H302" i="8"/>
  <c r="M301" i="8"/>
  <c r="H301" i="8"/>
  <c r="M300" i="8"/>
  <c r="H300" i="8"/>
  <c r="M299" i="8"/>
  <c r="H299" i="8"/>
  <c r="M298" i="8"/>
  <c r="H298" i="8"/>
  <c r="M297" i="8"/>
  <c r="H297" i="8"/>
  <c r="N297" i="8" s="1"/>
  <c r="M296" i="8"/>
  <c r="H296" i="8"/>
  <c r="M295" i="8"/>
  <c r="H295" i="8"/>
  <c r="N295" i="8" s="1"/>
  <c r="H294" i="8"/>
  <c r="H293" i="8"/>
  <c r="H292" i="8"/>
  <c r="H291" i="8"/>
  <c r="H290" i="8"/>
  <c r="H289" i="8"/>
  <c r="H133" i="8"/>
  <c r="H137" i="8"/>
  <c r="H139" i="8"/>
  <c r="H147" i="8"/>
  <c r="H143" i="8"/>
  <c r="H141" i="8"/>
  <c r="H153" i="8"/>
  <c r="H152" i="8"/>
  <c r="H136" i="8"/>
  <c r="H129" i="8"/>
  <c r="H128" i="8"/>
  <c r="H132" i="8"/>
  <c r="H127" i="8"/>
  <c r="H288" i="8"/>
  <c r="H287" i="8"/>
  <c r="H286" i="8"/>
  <c r="H285" i="8"/>
  <c r="H284" i="8"/>
  <c r="H283" i="8"/>
  <c r="H131" i="8"/>
  <c r="H135" i="8"/>
  <c r="H138" i="8"/>
  <c r="H146" i="8"/>
  <c r="H142" i="8"/>
  <c r="H140" i="8"/>
  <c r="H151" i="8"/>
  <c r="H150" i="8"/>
  <c r="H134" i="8"/>
  <c r="H126" i="8"/>
  <c r="H125" i="8"/>
  <c r="H130" i="8"/>
  <c r="M124" i="8"/>
  <c r="H124" i="8"/>
  <c r="H282" i="8"/>
  <c r="H281" i="8"/>
  <c r="H280" i="8"/>
  <c r="H279" i="8"/>
  <c r="H278" i="8"/>
  <c r="H277" i="8"/>
  <c r="H123" i="8"/>
  <c r="H121" i="8"/>
  <c r="H115" i="8"/>
  <c r="H113" i="8"/>
  <c r="H107" i="8"/>
  <c r="H103" i="8"/>
  <c r="H149" i="8"/>
  <c r="H148" i="8"/>
  <c r="H95" i="8"/>
  <c r="H87" i="8"/>
  <c r="H86" i="8"/>
  <c r="H91" i="8"/>
  <c r="H85" i="8"/>
  <c r="H276" i="8"/>
  <c r="H275" i="8"/>
  <c r="H274" i="8"/>
  <c r="H273" i="8"/>
  <c r="H272" i="8"/>
  <c r="H271" i="8"/>
  <c r="H122" i="8"/>
  <c r="H120" i="8"/>
  <c r="H114" i="8"/>
  <c r="H112" i="8"/>
  <c r="H106" i="8"/>
  <c r="H102" i="8"/>
  <c r="H145" i="8"/>
  <c r="H144" i="8"/>
  <c r="H94" i="8"/>
  <c r="H84" i="8"/>
  <c r="H83" i="8"/>
  <c r="H90" i="8"/>
  <c r="H82" i="8"/>
  <c r="M270" i="8"/>
  <c r="H270" i="8"/>
  <c r="M269" i="8"/>
  <c r="H269" i="8"/>
  <c r="M268" i="8"/>
  <c r="H268" i="8"/>
  <c r="M267" i="8"/>
  <c r="H267" i="8"/>
  <c r="M266" i="8"/>
  <c r="H266" i="8"/>
  <c r="M265" i="8"/>
  <c r="H265" i="8"/>
  <c r="M119" i="8"/>
  <c r="H119" i="8"/>
  <c r="M117" i="8"/>
  <c r="H117" i="8"/>
  <c r="M111" i="8"/>
  <c r="H111" i="8"/>
  <c r="M109" i="8"/>
  <c r="H109" i="8"/>
  <c r="M105" i="8"/>
  <c r="H105" i="8"/>
  <c r="M101" i="8"/>
  <c r="H101" i="8"/>
  <c r="M99" i="8"/>
  <c r="H99" i="8"/>
  <c r="M98" i="8"/>
  <c r="H98" i="8"/>
  <c r="M93" i="8"/>
  <c r="H93" i="8"/>
  <c r="M81" i="8"/>
  <c r="H81" i="8"/>
  <c r="M80" i="8"/>
  <c r="H80" i="8"/>
  <c r="M89" i="8"/>
  <c r="H89" i="8"/>
  <c r="M79" i="8"/>
  <c r="H79" i="8"/>
  <c r="H19" i="8"/>
  <c r="M19" i="8"/>
  <c r="M169" i="8"/>
  <c r="M168" i="8"/>
  <c r="M167" i="8"/>
  <c r="M166" i="8"/>
  <c r="M161" i="8"/>
  <c r="M159" i="8"/>
  <c r="M157" i="8"/>
  <c r="M155" i="8"/>
  <c r="M165" i="8"/>
  <c r="M164" i="8"/>
  <c r="M163" i="8"/>
  <c r="M162" i="8"/>
  <c r="M160" i="8"/>
  <c r="M158" i="8"/>
  <c r="M156" i="8"/>
  <c r="M154" i="8"/>
  <c r="M264" i="8"/>
  <c r="M263" i="8"/>
  <c r="M262" i="8"/>
  <c r="M261" i="8"/>
  <c r="M260" i="8"/>
  <c r="M259" i="8"/>
  <c r="M118" i="8"/>
  <c r="M116" i="8"/>
  <c r="M110" i="8"/>
  <c r="M108" i="8"/>
  <c r="M104" i="8"/>
  <c r="M100" i="8"/>
  <c r="M97" i="8"/>
  <c r="M96" i="8"/>
  <c r="M92" i="8"/>
  <c r="M78" i="8"/>
  <c r="M77" i="8"/>
  <c r="M88" i="8"/>
  <c r="M76" i="8"/>
  <c r="M75" i="8"/>
  <c r="M74" i="8"/>
  <c r="M73" i="8"/>
  <c r="M72" i="8"/>
  <c r="M71" i="8"/>
  <c r="M70" i="8"/>
  <c r="M66" i="8"/>
  <c r="M63" i="8"/>
  <c r="M60" i="8"/>
  <c r="M65" i="8"/>
  <c r="M62" i="8"/>
  <c r="M59" i="8"/>
  <c r="M69" i="8"/>
  <c r="M68" i="8"/>
  <c r="M67" i="8"/>
  <c r="M64" i="8"/>
  <c r="M61" i="8"/>
  <c r="M58" i="8"/>
  <c r="M253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57" i="8"/>
  <c r="M56" i="8"/>
  <c r="M55" i="8"/>
  <c r="M54" i="8"/>
  <c r="M53" i="8"/>
  <c r="M52" i="8"/>
  <c r="M48" i="8"/>
  <c r="M45" i="8"/>
  <c r="M42" i="8"/>
  <c r="M47" i="8"/>
  <c r="M44" i="8"/>
  <c r="M41" i="8"/>
  <c r="M51" i="8"/>
  <c r="M50" i="8"/>
  <c r="M49" i="8"/>
  <c r="M46" i="8"/>
  <c r="M43" i="8"/>
  <c r="M40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8" i="8"/>
  <c r="M8" i="8"/>
  <c r="M13" i="8"/>
  <c r="M258" i="8"/>
  <c r="M257" i="8"/>
  <c r="M256" i="8"/>
  <c r="M255" i="8"/>
  <c r="M254" i="8"/>
  <c r="M17" i="8"/>
  <c r="M16" i="8"/>
  <c r="M15" i="8"/>
  <c r="M14" i="8"/>
  <c r="M12" i="8"/>
  <c r="M3" i="8"/>
  <c r="M11" i="8"/>
  <c r="M10" i="8"/>
  <c r="M9" i="8"/>
  <c r="M7" i="8"/>
  <c r="M6" i="8"/>
  <c r="M5" i="8"/>
  <c r="M4" i="8"/>
  <c r="M2" i="8"/>
  <c r="H169" i="8"/>
  <c r="H168" i="8"/>
  <c r="H167" i="8"/>
  <c r="H166" i="8"/>
  <c r="H161" i="8"/>
  <c r="H159" i="8"/>
  <c r="H157" i="8"/>
  <c r="H155" i="8"/>
  <c r="H165" i="8"/>
  <c r="H164" i="8"/>
  <c r="H163" i="8"/>
  <c r="H162" i="8"/>
  <c r="H160" i="8"/>
  <c r="H158" i="8"/>
  <c r="H156" i="8"/>
  <c r="H154" i="8"/>
  <c r="H264" i="8"/>
  <c r="H263" i="8"/>
  <c r="H262" i="8"/>
  <c r="H261" i="8"/>
  <c r="H260" i="8"/>
  <c r="H259" i="8"/>
  <c r="H118" i="8"/>
  <c r="H116" i="8"/>
  <c r="H110" i="8"/>
  <c r="H108" i="8"/>
  <c r="H104" i="8"/>
  <c r="H100" i="8"/>
  <c r="H97" i="8"/>
  <c r="H96" i="8"/>
  <c r="H92" i="8"/>
  <c r="H78" i="8"/>
  <c r="H77" i="8"/>
  <c r="H88" i="8"/>
  <c r="H76" i="8"/>
  <c r="H75" i="8"/>
  <c r="H74" i="8"/>
  <c r="H73" i="8"/>
  <c r="H72" i="8"/>
  <c r="H71" i="8"/>
  <c r="H70" i="8"/>
  <c r="H66" i="8"/>
  <c r="H63" i="8"/>
  <c r="H60" i="8"/>
  <c r="H65" i="8"/>
  <c r="H62" i="8"/>
  <c r="H59" i="8"/>
  <c r="H69" i="8"/>
  <c r="H68" i="8"/>
  <c r="H67" i="8"/>
  <c r="H64" i="8"/>
  <c r="H61" i="8"/>
  <c r="H58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57" i="8"/>
  <c r="H56" i="8"/>
  <c r="H55" i="8"/>
  <c r="H54" i="8"/>
  <c r="H53" i="8"/>
  <c r="H52" i="8"/>
  <c r="H48" i="8"/>
  <c r="H45" i="8"/>
  <c r="H42" i="8"/>
  <c r="H47" i="8"/>
  <c r="H44" i="8"/>
  <c r="H41" i="8"/>
  <c r="H51" i="8"/>
  <c r="H50" i="8"/>
  <c r="H49" i="8"/>
  <c r="H46" i="8"/>
  <c r="H43" i="8"/>
  <c r="H40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8" i="8"/>
  <c r="H8" i="8"/>
  <c r="H13" i="8"/>
  <c r="H258" i="8"/>
  <c r="H257" i="8"/>
  <c r="H256" i="8"/>
  <c r="H255" i="8"/>
  <c r="H254" i="8"/>
  <c r="H17" i="8"/>
  <c r="H16" i="8"/>
  <c r="H15" i="8"/>
  <c r="H14" i="8"/>
  <c r="H12" i="8"/>
  <c r="H3" i="8"/>
  <c r="H11" i="8"/>
  <c r="H10" i="8"/>
  <c r="H9" i="8"/>
  <c r="H7" i="8"/>
  <c r="H6" i="8"/>
  <c r="H5" i="8"/>
  <c r="H4" i="8"/>
  <c r="H2" i="8"/>
  <c r="M95" i="8" l="1"/>
  <c r="N95" i="8" s="1"/>
  <c r="M84" i="8"/>
  <c r="N84" i="8" s="1"/>
  <c r="M102" i="8"/>
  <c r="N102" i="8" s="1"/>
  <c r="M103" i="8"/>
  <c r="N103" i="8" s="1"/>
  <c r="M272" i="8"/>
  <c r="N272" i="8" s="1"/>
  <c r="M121" i="8"/>
  <c r="N121" i="8" s="1"/>
  <c r="M113" i="8"/>
  <c r="N113" i="8" s="1"/>
  <c r="N312" i="8"/>
  <c r="N150" i="8"/>
  <c r="N50" i="8"/>
  <c r="N71" i="8"/>
  <c r="N36" i="8"/>
  <c r="N40" i="8"/>
  <c r="N19" i="8"/>
  <c r="N220" i="8"/>
  <c r="N130" i="8"/>
  <c r="N196" i="8"/>
  <c r="N188" i="8"/>
  <c r="N176" i="8"/>
  <c r="N129" i="8"/>
  <c r="N31" i="8"/>
  <c r="N236" i="8"/>
  <c r="N73" i="8"/>
  <c r="N254" i="8"/>
  <c r="N23" i="8"/>
  <c r="N133" i="8"/>
  <c r="N88" i="8"/>
  <c r="N58" i="8"/>
  <c r="N154" i="8"/>
  <c r="N144" i="8"/>
  <c r="N285" i="8"/>
  <c r="N213" i="8"/>
  <c r="N66" i="8"/>
  <c r="N96" i="8"/>
  <c r="N262" i="8"/>
  <c r="N270" i="8"/>
  <c r="N22" i="8"/>
  <c r="N175" i="8"/>
  <c r="N33" i="8"/>
  <c r="N152" i="8"/>
  <c r="N137" i="8"/>
  <c r="N134" i="8"/>
  <c r="N34" i="8"/>
  <c r="N72" i="8"/>
  <c r="N165" i="8"/>
  <c r="N238" i="8"/>
  <c r="N26" i="8"/>
  <c r="N156" i="8"/>
  <c r="N59" i="8"/>
  <c r="N48" i="8"/>
  <c r="N226" i="8"/>
  <c r="N192" i="8"/>
  <c r="N53" i="8"/>
  <c r="N178" i="8"/>
  <c r="N174" i="8"/>
  <c r="N37" i="8"/>
  <c r="N251" i="8"/>
  <c r="N78" i="8"/>
  <c r="N100" i="8"/>
  <c r="N299" i="8"/>
  <c r="N294" i="8"/>
  <c r="N183" i="8"/>
  <c r="N198" i="8"/>
  <c r="N116" i="8"/>
  <c r="N191" i="8"/>
  <c r="N69" i="8"/>
  <c r="N309" i="8"/>
  <c r="N93" i="8"/>
  <c r="N18" i="8"/>
  <c r="N259" i="8"/>
  <c r="N288" i="8"/>
  <c r="N38" i="8"/>
  <c r="N51" i="8"/>
  <c r="N189" i="8"/>
  <c r="N207" i="8"/>
  <c r="N181" i="8"/>
  <c r="N291" i="8"/>
  <c r="N218" i="8"/>
  <c r="N68" i="8"/>
  <c r="N127" i="8"/>
  <c r="N292" i="8"/>
  <c r="N16" i="8"/>
  <c r="N76" i="8"/>
  <c r="N169" i="8"/>
  <c r="N287" i="8"/>
  <c r="N125" i="8"/>
  <c r="N45" i="8"/>
  <c r="N221" i="8"/>
  <c r="N163" i="8"/>
  <c r="N5" i="8"/>
  <c r="N289" i="8"/>
  <c r="N79" i="8"/>
  <c r="N13" i="8"/>
  <c r="N92" i="8"/>
  <c r="N111" i="8"/>
  <c r="N155" i="8"/>
  <c r="N240" i="8"/>
  <c r="N12" i="8"/>
  <c r="N231" i="8"/>
  <c r="N194" i="8"/>
  <c r="N229" i="8"/>
  <c r="N46" i="8"/>
  <c r="N117" i="8"/>
  <c r="N264" i="8"/>
  <c r="N145" i="8"/>
  <c r="N212" i="8"/>
  <c r="N234" i="8"/>
  <c r="N208" i="8"/>
  <c r="N94" i="8"/>
  <c r="N200" i="8"/>
  <c r="N219" i="8"/>
  <c r="N235" i="8"/>
  <c r="N57" i="8"/>
  <c r="N168" i="8"/>
  <c r="N284" i="8"/>
  <c r="N243" i="8"/>
  <c r="N185" i="8"/>
  <c r="N153" i="8"/>
  <c r="N296" i="8"/>
  <c r="N293" i="8"/>
  <c r="N104" i="8"/>
  <c r="N184" i="8"/>
  <c r="N222" i="8"/>
  <c r="N253" i="8"/>
  <c r="N149" i="8"/>
  <c r="N307" i="8"/>
  <c r="N98" i="8"/>
  <c r="N206" i="8"/>
  <c r="N260" i="8"/>
  <c r="N224" i="8"/>
  <c r="N140" i="8"/>
  <c r="N143" i="8"/>
  <c r="N8" i="8"/>
  <c r="N247" i="8"/>
  <c r="N241" i="8"/>
  <c r="N211" i="8"/>
  <c r="N120" i="8"/>
  <c r="N193" i="8"/>
  <c r="N201" i="8"/>
  <c r="N138" i="8"/>
  <c r="N179" i="8"/>
  <c r="N257" i="8"/>
  <c r="N301" i="8"/>
  <c r="N42" i="8"/>
  <c r="N65" i="8"/>
  <c r="N242" i="8"/>
  <c r="N105" i="8"/>
  <c r="N3" i="8"/>
  <c r="N99" i="8"/>
  <c r="N32" i="8"/>
  <c r="N75" i="8"/>
  <c r="N182" i="8"/>
  <c r="N197" i="8"/>
  <c r="N310" i="8"/>
  <c r="N230" i="8"/>
  <c r="N216" i="8"/>
  <c r="N302" i="8"/>
  <c r="N118" i="8"/>
  <c r="N4" i="8"/>
  <c r="N91" i="8"/>
  <c r="N162" i="8"/>
  <c r="N142" i="8"/>
  <c r="N55" i="8"/>
  <c r="N109" i="8"/>
  <c r="N161" i="8"/>
  <c r="N286" i="8"/>
  <c r="N82" i="8"/>
  <c r="N298" i="8"/>
  <c r="N263" i="8"/>
  <c r="N195" i="8"/>
  <c r="N9" i="8"/>
  <c r="N124" i="8"/>
  <c r="N199" i="8"/>
  <c r="N300" i="8"/>
  <c r="N132" i="8"/>
  <c r="N106" i="8"/>
  <c r="N77" i="8"/>
  <c r="N15" i="8"/>
  <c r="N64" i="8"/>
  <c r="N54" i="8"/>
  <c r="N171" i="8"/>
  <c r="N25" i="8"/>
  <c r="N148" i="8"/>
  <c r="N89" i="8"/>
  <c r="N187" i="8"/>
  <c r="N203" i="8"/>
  <c r="N258" i="8"/>
  <c r="N47" i="8"/>
  <c r="N83" i="8"/>
  <c r="N135" i="8"/>
  <c r="N52" i="8"/>
  <c r="N180" i="8"/>
  <c r="N41" i="8"/>
  <c r="N131" i="8"/>
  <c r="N21" i="8"/>
  <c r="N232" i="8"/>
  <c r="N7" i="8"/>
  <c r="N261" i="8"/>
  <c r="N204" i="8"/>
  <c r="N265" i="8"/>
  <c r="N205" i="8"/>
  <c r="N81" i="8"/>
  <c r="N269" i="8"/>
  <c r="N210" i="8"/>
  <c r="N49" i="8"/>
  <c r="N110" i="8"/>
  <c r="N267" i="8"/>
  <c r="N290" i="8"/>
  <c r="N101" i="8"/>
  <c r="N136" i="8"/>
  <c r="N283" i="8"/>
  <c r="N90" i="8"/>
  <c r="N128" i="8"/>
  <c r="N63" i="8"/>
  <c r="N28" i="8"/>
  <c r="N160" i="8"/>
  <c r="N246" i="8"/>
  <c r="N43" i="8"/>
  <c r="N245" i="8"/>
  <c r="N151" i="8"/>
  <c r="N62" i="8"/>
  <c r="N44" i="8"/>
  <c r="N308" i="8"/>
  <c r="N268" i="8"/>
  <c r="N209" i="8"/>
  <c r="N27" i="8"/>
  <c r="N10" i="8"/>
  <c r="N24" i="8"/>
  <c r="N172" i="8"/>
  <c r="N119" i="8"/>
  <c r="N190" i="8"/>
  <c r="N74" i="8"/>
  <c r="N108" i="8"/>
  <c r="N177" i="8"/>
  <c r="N250" i="8"/>
  <c r="N239" i="8"/>
  <c r="N2" i="8"/>
  <c r="N214" i="8"/>
  <c r="N35" i="8"/>
  <c r="N61" i="8"/>
  <c r="N147" i="8"/>
  <c r="N126" i="8"/>
  <c r="N186" i="8"/>
  <c r="N249" i="8"/>
  <c r="N159" i="8"/>
  <c r="N173" i="8"/>
  <c r="N256" i="8"/>
  <c r="N56" i="8"/>
  <c r="N215" i="8"/>
  <c r="N233" i="8"/>
  <c r="N14" i="8"/>
  <c r="N146" i="8"/>
  <c r="N225" i="8"/>
  <c r="N29" i="8"/>
  <c r="N237" i="8"/>
  <c r="N80" i="8"/>
  <c r="N112" i="8"/>
  <c r="N255" i="8"/>
  <c r="N17" i="8"/>
  <c r="N248" i="8"/>
  <c r="N227" i="8"/>
  <c r="N39" i="8"/>
  <c r="N139" i="8"/>
  <c r="N20" i="8"/>
  <c r="N170" i="8"/>
  <c r="N60" i="8"/>
  <c r="N311" i="8"/>
  <c r="N228" i="8"/>
  <c r="N223" i="8"/>
  <c r="N11" i="8"/>
  <c r="N166" i="8"/>
  <c r="N266" i="8"/>
  <c r="N217" i="8"/>
  <c r="N67" i="8"/>
  <c r="N244" i="8"/>
  <c r="N107" i="8"/>
  <c r="N271" i="8"/>
  <c r="N141" i="8"/>
  <c r="N158" i="8"/>
  <c r="N70" i="8"/>
  <c r="N30" i="8"/>
  <c r="N202" i="8"/>
  <c r="N157" i="8"/>
  <c r="N97" i="8"/>
  <c r="N164" i="8"/>
  <c r="N6" i="8"/>
  <c r="N167" i="8"/>
  <c r="N252" i="8"/>
  <c r="M85" i="8" l="1"/>
  <c r="N85" i="8" s="1"/>
  <c r="M273" i="8"/>
  <c r="N273" i="8" s="1"/>
  <c r="M123" i="8"/>
  <c r="N123" i="8" s="1"/>
  <c r="M122" i="8"/>
  <c r="N122" i="8" s="1"/>
  <c r="M115" i="8"/>
  <c r="N115" i="8" s="1"/>
  <c r="M114" i="8"/>
  <c r="N114" i="8" s="1"/>
  <c r="M86" i="8" l="1"/>
  <c r="N86" i="8" s="1"/>
  <c r="M87" i="8"/>
  <c r="N87" i="8" s="1"/>
  <c r="M274" i="8"/>
  <c r="N274" i="8" s="1"/>
  <c r="M275" i="8" l="1"/>
  <c r="N275" i="8" s="1"/>
  <c r="M276" i="8" l="1"/>
  <c r="N276" i="8" s="1"/>
  <c r="M277" i="8" l="1"/>
  <c r="N277" i="8" s="1"/>
  <c r="M278" i="8" l="1"/>
  <c r="N278" i="8" s="1"/>
  <c r="M279" i="8" l="1"/>
  <c r="N279" i="8" s="1"/>
  <c r="M280" i="8" l="1"/>
  <c r="N280" i="8" s="1"/>
  <c r="M282" i="8" l="1"/>
  <c r="N282" i="8" s="1"/>
  <c r="M281" i="8"/>
  <c r="N281" i="8" s="1"/>
</calcChain>
</file>

<file path=xl/sharedStrings.xml><?xml version="1.0" encoding="utf-8"?>
<sst xmlns="http://schemas.openxmlformats.org/spreadsheetml/2006/main" count="5370" uniqueCount="643">
  <si>
    <t>Equipment</t>
  </si>
  <si>
    <t>Count</t>
  </si>
  <si>
    <t>Header</t>
  </si>
  <si>
    <t>Chiller</t>
  </si>
  <si>
    <t>Primary Variable Pump</t>
  </si>
  <si>
    <t>Condenser Pump</t>
  </si>
  <si>
    <t>Cooling Tower</t>
  </si>
  <si>
    <t>Exhaust Fan</t>
  </si>
  <si>
    <t>Panel No</t>
  </si>
  <si>
    <t>DDC Number</t>
  </si>
  <si>
    <t>DDC Model No</t>
  </si>
  <si>
    <t>Extension No</t>
  </si>
  <si>
    <t>Extension Model</t>
  </si>
  <si>
    <t>Port/Terminal</t>
  </si>
  <si>
    <t>Point Type</t>
  </si>
  <si>
    <t>Instance ID</t>
  </si>
  <si>
    <t>Point Description</t>
  </si>
  <si>
    <t>Equipment Tag</t>
  </si>
  <si>
    <t>Equipment Grouping</t>
  </si>
  <si>
    <t>Equipment Type</t>
  </si>
  <si>
    <t>Status/Command</t>
  </si>
  <si>
    <t>Panel-1</t>
  </si>
  <si>
    <t>DDC-01</t>
  </si>
  <si>
    <t>DDC-8044</t>
  </si>
  <si>
    <t>UI-1</t>
  </si>
  <si>
    <t>AI</t>
  </si>
  <si>
    <t>Outside Air Temp monitoring</t>
  </si>
  <si>
    <t>OAT</t>
  </si>
  <si>
    <t>Common Monitoring</t>
  </si>
  <si>
    <t>Sensor</t>
  </si>
  <si>
    <t>Status</t>
  </si>
  <si>
    <t>UI-2</t>
  </si>
  <si>
    <t>Outside Air Relative Humidity Monitoring</t>
  </si>
  <si>
    <t>OARH</t>
  </si>
  <si>
    <t>UI-3</t>
  </si>
  <si>
    <t>CHW Common Supply Header Temperature</t>
  </si>
  <si>
    <t>CHW-ST-01</t>
  </si>
  <si>
    <t>UI-4</t>
  </si>
  <si>
    <t>CHW Common Return Header Temperature</t>
  </si>
  <si>
    <t>CHW-RT-01</t>
  </si>
  <si>
    <t>UI-5</t>
  </si>
  <si>
    <t>Condenser Water Supply Header Temperature</t>
  </si>
  <si>
    <t>CDW-ST-01</t>
  </si>
  <si>
    <t>UI-6</t>
  </si>
  <si>
    <t>Condenser Water Return Header Temperature</t>
  </si>
  <si>
    <t>CDW-RT-01</t>
  </si>
  <si>
    <t>UI-7</t>
  </si>
  <si>
    <t>Bypass Temperature</t>
  </si>
  <si>
    <t>BYP-T</t>
  </si>
  <si>
    <t>UI-8</t>
  </si>
  <si>
    <t>Bypass Modulating Valve Feedback</t>
  </si>
  <si>
    <t>BYP-VLV-01</t>
  </si>
  <si>
    <t>Valve</t>
  </si>
  <si>
    <t>AO-1</t>
  </si>
  <si>
    <t>AO</t>
  </si>
  <si>
    <t>Bypass Modulating Valve Control</t>
  </si>
  <si>
    <t>Command</t>
  </si>
  <si>
    <t>AO-2</t>
  </si>
  <si>
    <t>Spare</t>
  </si>
  <si>
    <t>AO-3</t>
  </si>
  <si>
    <t>AO-4</t>
  </si>
  <si>
    <t>DO-1</t>
  </si>
  <si>
    <t>DO</t>
  </si>
  <si>
    <t>DO-2</t>
  </si>
  <si>
    <t>DO-3</t>
  </si>
  <si>
    <t>DO-4</t>
  </si>
  <si>
    <t>Ext Module</t>
  </si>
  <si>
    <t>IO-V6002</t>
  </si>
  <si>
    <t>CDW Common supply header flow</t>
  </si>
  <si>
    <t>CDW-SF</t>
  </si>
  <si>
    <t>CHW Common Supply and Return Header Pressure monitoring</t>
  </si>
  <si>
    <t>CDW-SPRP</t>
  </si>
  <si>
    <t>Diff Pressure Monitoring @Main Header</t>
  </si>
  <si>
    <t>DPT-01</t>
  </si>
  <si>
    <t>Diff Pressure Monitoring @AHU Header</t>
  </si>
  <si>
    <t>DPT-02</t>
  </si>
  <si>
    <t>Decimal Meter</t>
  </si>
  <si>
    <t>DM</t>
  </si>
  <si>
    <t>DI</t>
  </si>
  <si>
    <t>Chiller-1 Run Status</t>
  </si>
  <si>
    <t>CH-01</t>
  </si>
  <si>
    <t>Water Cooled Chillers</t>
  </si>
  <si>
    <t>Chiller-1 Enable/Disable Command</t>
  </si>
  <si>
    <t>IO Module-01</t>
  </si>
  <si>
    <t>IO-0800-485</t>
  </si>
  <si>
    <t>DI-1</t>
  </si>
  <si>
    <t>Chiller-1 Auto/Manual Status</t>
  </si>
  <si>
    <t>DI-2</t>
  </si>
  <si>
    <t>Chiller-2 Auto/Manual Status</t>
  </si>
  <si>
    <t>CH-02</t>
  </si>
  <si>
    <t>DI-3</t>
  </si>
  <si>
    <t>Chiller-3 Auto/Manual Status</t>
  </si>
  <si>
    <t>CH-03</t>
  </si>
  <si>
    <t>DI-4</t>
  </si>
  <si>
    <t>Chiller-1 Fault/Alarm Status</t>
  </si>
  <si>
    <t>DI-5</t>
  </si>
  <si>
    <t>Chiller-2 Fault/Alarm Status</t>
  </si>
  <si>
    <t>DI-6</t>
  </si>
  <si>
    <t>Chiller-3 Fault/Alarm Status</t>
  </si>
  <si>
    <t>DI-7</t>
  </si>
  <si>
    <t>DI-8</t>
  </si>
  <si>
    <t>IO Module-02</t>
  </si>
  <si>
    <t>Chiller-1 Motorized Valve-1 Feedback</t>
  </si>
  <si>
    <t>CH-01-VLV-01</t>
  </si>
  <si>
    <t>Chiller-1 Motorized Valve-2 Feedback</t>
  </si>
  <si>
    <t>CH-01-VLV-02</t>
  </si>
  <si>
    <t>Chiller-2 Motorized Valve-1 Feedback</t>
  </si>
  <si>
    <t>CH-02-VLV-01</t>
  </si>
  <si>
    <t>Chiller-2 Motorized Valve-2 Feedback</t>
  </si>
  <si>
    <t>CH-02-VLV-02</t>
  </si>
  <si>
    <t>Chiller-3 Motorized Valve-1 Feedback</t>
  </si>
  <si>
    <t>CH-03-VLV-01</t>
  </si>
  <si>
    <t>Chiller-3 Motorized Valve-2 Feedback</t>
  </si>
  <si>
    <t>CH-03-VLV-02</t>
  </si>
  <si>
    <t>Chiller-2 Run Status</t>
  </si>
  <si>
    <t>Chiller-3 Run Status</t>
  </si>
  <si>
    <t>IO Module-03</t>
  </si>
  <si>
    <t>IO-0008-485</t>
  </si>
  <si>
    <t>Chiller-1 Motorized Valve-1 Command</t>
  </si>
  <si>
    <t>Chiller-1 Motorized Valve-2 Command</t>
  </si>
  <si>
    <t>Chiller-2 Motorized Valve-1 Command</t>
  </si>
  <si>
    <t>Chiller-2 Motorized Valve-2 Command</t>
  </si>
  <si>
    <t>DO-5</t>
  </si>
  <si>
    <t>Chiller-3 Motorized Valve-1 Command</t>
  </si>
  <si>
    <t>DO-6</t>
  </si>
  <si>
    <t>Chiller-3 Motorized Valve-2 Command</t>
  </si>
  <si>
    <t>DO-7</t>
  </si>
  <si>
    <t>Chiller-2 Enable/Disable Command</t>
  </si>
  <si>
    <t>DO-8</t>
  </si>
  <si>
    <t>Chiller-3 Enable/Disable Command</t>
  </si>
  <si>
    <t>DDC-02</t>
  </si>
  <si>
    <t>Chilled Water Pump-1 VFD Feedback</t>
  </si>
  <si>
    <t>PP-01</t>
  </si>
  <si>
    <t>Primary Pumps</t>
  </si>
  <si>
    <t>VFD</t>
  </si>
  <si>
    <t>Chilled Water Pump-2 VFD Feedback</t>
  </si>
  <si>
    <t>PP-02</t>
  </si>
  <si>
    <t>Chilled Water Pump-3 VFD Feedback</t>
  </si>
  <si>
    <t>PP-03</t>
  </si>
  <si>
    <t>Chilled Water Pump-1 run Status</t>
  </si>
  <si>
    <t>Pump</t>
  </si>
  <si>
    <t>Chilled Water Pump-2 run Status</t>
  </si>
  <si>
    <t>Chilled Water Pump-3 run Status</t>
  </si>
  <si>
    <t>Chilled Water Pump-1 VFD Control</t>
  </si>
  <si>
    <t>Chilled Water Pump-2 VFD Control</t>
  </si>
  <si>
    <t>Chilled Water Pump-3 VFD Control</t>
  </si>
  <si>
    <t>Chilled Water Pump-1 VFD On/Off Command</t>
  </si>
  <si>
    <t>Chilled Water Pump-2 VFD On/Off Command</t>
  </si>
  <si>
    <t>Chilled Water Pump-3 VFD On/Off Command</t>
  </si>
  <si>
    <t>IO-V0800</t>
  </si>
  <si>
    <t>Chilled Water Pump-1 Trip Status</t>
  </si>
  <si>
    <t>Chilled Water Pump-2 Trip Status</t>
  </si>
  <si>
    <t>Chilled Water Pump-3 Trip Status</t>
  </si>
  <si>
    <t>Chilled Water Pump-1 Auto/Manual Status</t>
  </si>
  <si>
    <t>Chilled Water Pump-2 Auto/Manual Status</t>
  </si>
  <si>
    <t>Chilled Water Pump-3 Auto/Manual Status</t>
  </si>
  <si>
    <t>DDC-03</t>
  </si>
  <si>
    <t>Condenser Water Pump-1 VFD Feedback</t>
  </si>
  <si>
    <t>CP-01</t>
  </si>
  <si>
    <t>Condenser Pumps</t>
  </si>
  <si>
    <t>Condenser Water Pump-2 VFD Feedback</t>
  </si>
  <si>
    <t>CP-02</t>
  </si>
  <si>
    <t>Condenser Water Pump-3 VFD Feedback</t>
  </si>
  <si>
    <t>CP-03</t>
  </si>
  <si>
    <t>Condenser Water Pump-1 run Status</t>
  </si>
  <si>
    <t>Condenser Water Pump-2 run Status</t>
  </si>
  <si>
    <t>Condenser Water Pump-3 run Status</t>
  </si>
  <si>
    <t>Condenser Water Pump-1 VFD Control</t>
  </si>
  <si>
    <t>Condenser Water Pump-2 VFD Control</t>
  </si>
  <si>
    <t>Condenser Water Pump-3 VFD Control</t>
  </si>
  <si>
    <t>Condenser Water Pump-1 VFD On/Off Command</t>
  </si>
  <si>
    <t>Condenser Water Pump-2 VFD On/Off Command</t>
  </si>
  <si>
    <t>Condenser Water Pump-3 VFD On/Off Command</t>
  </si>
  <si>
    <t>Condenser Water Pump-1 Trip Status</t>
  </si>
  <si>
    <t>Condenser Water Pump-2 Trip Status</t>
  </si>
  <si>
    <t>Condenser Water Pump-3 Trip Status</t>
  </si>
  <si>
    <t>Condenser Water Pump-1 Auto/Manual Status</t>
  </si>
  <si>
    <t>Condenser Water Pump-2 Auto/Manual Status</t>
  </si>
  <si>
    <t>Condenser Water Pump-3 Auto/Manual Status</t>
  </si>
  <si>
    <t>DDC-04</t>
  </si>
  <si>
    <t>Cooling Tower-1 Fan-1 VFD Speed Feedback</t>
  </si>
  <si>
    <t>CT-01-F-01</t>
  </si>
  <si>
    <t>Cooling Towers</t>
  </si>
  <si>
    <t>Cooling Tower-1 Fan-2 VFD Speed Feedback</t>
  </si>
  <si>
    <t>CT-01-F-02</t>
  </si>
  <si>
    <t>Cooling Tower-2 Fan-1 VFD Speed Feedback</t>
  </si>
  <si>
    <t>CT-02-F-01</t>
  </si>
  <si>
    <t>Cooling Tower-2 Fan-2 VFD Speed Feedback</t>
  </si>
  <si>
    <t>CT-02-F-02</t>
  </si>
  <si>
    <t>Cooling Tower-1 Sump Temperature-1</t>
  </si>
  <si>
    <t>CT-01-ST-01</t>
  </si>
  <si>
    <t>Cooling Tower-1 Sump Temperature-2</t>
  </si>
  <si>
    <t>CT-01-ST-02</t>
  </si>
  <si>
    <t>Cooling Tower-2 Sump Temperature-1</t>
  </si>
  <si>
    <t>CT-02-ST-01</t>
  </si>
  <si>
    <t>Cooling Tower-2 Sump Temperature-2</t>
  </si>
  <si>
    <t>CT-02-ST-02</t>
  </si>
  <si>
    <t>Cooling Tower-1 Fan-1 VFD Speed Control</t>
  </si>
  <si>
    <t>Cooling Tower-1 Fan-2 VFD Speed Control</t>
  </si>
  <si>
    <t>Cooling Tower-2 Fan-1 VFD Speed Control</t>
  </si>
  <si>
    <t>Cooling Tower-2 Fan-2 VFD Speed Control</t>
  </si>
  <si>
    <t>Cooling Tower-1 Fan-1 VFD On/Off Command</t>
  </si>
  <si>
    <t>Cooling Tower-1 Fan-2 VFD On/Off Command</t>
  </si>
  <si>
    <t>Cooling Tower-2 Fan-1 VFD On/Off Command</t>
  </si>
  <si>
    <t>Cooling Tower-2 Fan-2 VFD On/Off Command</t>
  </si>
  <si>
    <t>Cooling Tower-1 Fan-1 Run Status</t>
  </si>
  <si>
    <t>Cooling Tower-1 Fan-2 Run Status</t>
  </si>
  <si>
    <t>Cooling Tower-2 Fan-1 Run Status</t>
  </si>
  <si>
    <t>Cooling Tower-2 Fan-2 Run Status</t>
  </si>
  <si>
    <t>Cooling Tower-1 Level Switch (High)</t>
  </si>
  <si>
    <t>CT-01-LS-01</t>
  </si>
  <si>
    <t>Cooling Tower-1 Level Switch (Low)</t>
  </si>
  <si>
    <t>CT-01-LS-02</t>
  </si>
  <si>
    <t>Cooling Tower-2 Level Switch (High)</t>
  </si>
  <si>
    <t>CT-02-LS-01</t>
  </si>
  <si>
    <t>Cooling Tower-2 Level Switch (Low)</t>
  </si>
  <si>
    <t>CT-02-LS-02</t>
  </si>
  <si>
    <t>Cooling Tower-1 Fan-1 Auto/Manual Status</t>
  </si>
  <si>
    <t>Cooling Tower-1 Fan-2 Auto/Manual Status</t>
  </si>
  <si>
    <t>Cooling Tower-2 Fan-1 Auto/Manual Status</t>
  </si>
  <si>
    <t>Cooling Tower-2 Fan-2 Auto/Manual Status</t>
  </si>
  <si>
    <t>Cooling Tower-1 Fan-1 Trip Status</t>
  </si>
  <si>
    <t>Cooling Tower-1 Fan-2 Trip Status</t>
  </si>
  <si>
    <t>Cooling Tower-2 Fan-1 Trip Status</t>
  </si>
  <si>
    <t>Cooling Tower-2 Fan-2 Trip Status</t>
  </si>
  <si>
    <t>Cooling Tower-1 Inlet-1 isolation valves Open/Close Status</t>
  </si>
  <si>
    <t>CT-01-VLV-01</t>
  </si>
  <si>
    <t>Cooling Tower-1 Inlet-2 isolation valves Open/Close Status</t>
  </si>
  <si>
    <t>CT-01-VLV-02</t>
  </si>
  <si>
    <t>Cooling Tower-1 Outlet-1 isolation valves Open/Close Status</t>
  </si>
  <si>
    <t>CT-01-VLV-03</t>
  </si>
  <si>
    <t>Cooling Tower-1 Outlet-2 isolation valves Open/Close Status</t>
  </si>
  <si>
    <t>CT-01-VLV-04</t>
  </si>
  <si>
    <t>Cooling Tower-2 Inlet-1 isolation valves Open/Close Status</t>
  </si>
  <si>
    <t>CT-02-VLV-01</t>
  </si>
  <si>
    <t>Cooling Tower-2 Intlet-2 isolation valves Open/Close Status</t>
  </si>
  <si>
    <t>CT-02-VLV-02</t>
  </si>
  <si>
    <t>Cooling Tower-2 Outlet-1 isolation valves Open/Close Status</t>
  </si>
  <si>
    <t>CT-02-VLV-03</t>
  </si>
  <si>
    <t>Cooling Tower-2 Outlet-2 isolation valves Open/Close Status</t>
  </si>
  <si>
    <t>CT-02-VLV-04</t>
  </si>
  <si>
    <t>Cooling Tower-1 Inlet-1 isolation valves Open/Close Command</t>
  </si>
  <si>
    <t>Cooling Tower-1 Inlet-2 isolation valves Open/Close Command</t>
  </si>
  <si>
    <t>Cooling Tower-1 Outlet-1 isolation valves Open/Close Command</t>
  </si>
  <si>
    <t>Cooling Tower-1 Outlet-2 isolation valves Open/Close Command</t>
  </si>
  <si>
    <t>Cooling Tower-2 Inlet-1 isolation valves Open/Close Command</t>
  </si>
  <si>
    <t>Cooling Tower-2 Intlet-2 isolation valves Open/Close Command</t>
  </si>
  <si>
    <t>Cooling Tower-2 Outlet-1 isolation valves Open/Close Command</t>
  </si>
  <si>
    <t>Cooling Tower-2 Outlet-2 isolation valves Open/Close Command</t>
  </si>
  <si>
    <t>DDC-05</t>
  </si>
  <si>
    <t>Cooling Tower-3 Fan-1 VFD Speed Feedback</t>
  </si>
  <si>
    <t>CT-03-F-01</t>
  </si>
  <si>
    <t>Cooling Tower-3 Fan-2 VFD Speed Feedback</t>
  </si>
  <si>
    <t>CT-03-F-02</t>
  </si>
  <si>
    <t>Cooling Tower-3 Sump Temperature-1</t>
  </si>
  <si>
    <t>CT-03-ST-01</t>
  </si>
  <si>
    <t>Cooling Tower-3 Sump Temperature-2</t>
  </si>
  <si>
    <t>CT-03-ST-02</t>
  </si>
  <si>
    <t>Cooling Tower-3 Fan-1 Run Status</t>
  </si>
  <si>
    <t>Cooling Tower-3 Fan-2 Run Status</t>
  </si>
  <si>
    <t>Cooling Tower-3 Outlet-1 isolation valves Open/Close Status</t>
  </si>
  <si>
    <t>CT-03-VLV-03</t>
  </si>
  <si>
    <t>Cooling Tower-3 Outtlet-2 isolation valves Open/Close Status</t>
  </si>
  <si>
    <t>CT-03-VLV-04</t>
  </si>
  <si>
    <t>Cooling Tower-3 Fan-1 VFD Speed Control</t>
  </si>
  <si>
    <t>Cooling Tower-3 Fan-2 VFD Speed Control</t>
  </si>
  <si>
    <t>Cooling Tower-3 Fan-1 VFD On/Off Command</t>
  </si>
  <si>
    <t>Cooling Tower-3 Fan-2 VFD On/Off Command</t>
  </si>
  <si>
    <t>Cooling Tower-3 Outlet-1 isolation valves Open/Close Command</t>
  </si>
  <si>
    <t>Cooling Tower-3 Outlet-2 isolation valves Open/Close Command</t>
  </si>
  <si>
    <t>Cooling Tower-3 Fan-1 Auto.Manual Status</t>
  </si>
  <si>
    <t>Cooling Tower-3 Fan-2 Auto.Manual Status</t>
  </si>
  <si>
    <t>Cooling Tower-3 Fan-1 Trip Status</t>
  </si>
  <si>
    <t>Cooling Tower-3 Fan-2 Trip Status</t>
  </si>
  <si>
    <t>Cooling Tower-3 Level Switch (High)</t>
  </si>
  <si>
    <t>CT-03-LS-01</t>
  </si>
  <si>
    <t>Cooling Tower-3 Level Switch (Low)</t>
  </si>
  <si>
    <t>CT-03-LS-02</t>
  </si>
  <si>
    <t>Cooling Tower-3 Inlet-1 isolation valves Open/Close Command</t>
  </si>
  <si>
    <t>CT-03-VLV-01</t>
  </si>
  <si>
    <t>Cooling Tower-3 Intlet-2 isolation valves Open/Close Command</t>
  </si>
  <si>
    <t>CT-03-VLV-02</t>
  </si>
  <si>
    <t>Cooling Tower-3 Inlet-1 isolation valves Open/Close Status</t>
  </si>
  <si>
    <t>Cooling Tower-3 Intlet-2 isolation valves Open/Close Status</t>
  </si>
  <si>
    <t>Cooling Tower-4 Level Switch (High)</t>
  </si>
  <si>
    <t>Cooling Tower-4 Level Switch (Low)</t>
  </si>
  <si>
    <t>Cooling Tower-5 Level Switch (High)</t>
  </si>
  <si>
    <t>Cooling Tower-5 Level Switch (Low)</t>
  </si>
  <si>
    <t>Cooling Tower-6 Level Switch (High)</t>
  </si>
  <si>
    <t>Cooling Tower-6 Level Switch (Low)</t>
  </si>
  <si>
    <t>DDC-06</t>
  </si>
  <si>
    <t>Exhaust Fan-1 Run Status</t>
  </si>
  <si>
    <t>EX-01</t>
  </si>
  <si>
    <t>Exhaust Fans</t>
  </si>
  <si>
    <t>Exhaust Fan-2 Run Status</t>
  </si>
  <si>
    <t>EX-02</t>
  </si>
  <si>
    <t>Exhaust Fan-3 Run Status</t>
  </si>
  <si>
    <t>EX-03</t>
  </si>
  <si>
    <t>Exhaust Fan-4 Run Status</t>
  </si>
  <si>
    <t>EX-04</t>
  </si>
  <si>
    <t>Exhaust Fan-1 Trip Status</t>
  </si>
  <si>
    <t>Exhaust Fan-2 Trip Status</t>
  </si>
  <si>
    <t>Exhaust Fan-3 Trip Status</t>
  </si>
  <si>
    <t>Exhaust Fan-4 Trip Status</t>
  </si>
  <si>
    <t>Exhaust Fan-1 On/Off Command</t>
  </si>
  <si>
    <t>Exhaust Fan-2 On/Off Command</t>
  </si>
  <si>
    <t>Exhaust Fan-3 On/Off Command</t>
  </si>
  <si>
    <t>Exhaust Fan-4 On/Off Command</t>
  </si>
  <si>
    <t>Exhaust Fan-1 Auto/Manual Status</t>
  </si>
  <si>
    <t>Exhaust Fan-2 Auto/Manual Status</t>
  </si>
  <si>
    <t>Exhaust Fan-3 Auto/Manual Status</t>
  </si>
  <si>
    <t>Exhaust Fan-4 Auto/Manual Status</t>
  </si>
  <si>
    <t>DDC ID</t>
  </si>
  <si>
    <t>Object type</t>
  </si>
  <si>
    <t>Instance Id</t>
  </si>
  <si>
    <t>short name</t>
  </si>
  <si>
    <t>Description</t>
  </si>
  <si>
    <t xml:space="preserve">GL </t>
  </si>
  <si>
    <t>DDC No</t>
  </si>
  <si>
    <t>00</t>
  </si>
  <si>
    <t>Device No</t>
  </si>
  <si>
    <t>Param Type</t>
  </si>
  <si>
    <t>Parameter No</t>
  </si>
  <si>
    <t>GL CODE</t>
  </si>
  <si>
    <t>Index</t>
  </si>
  <si>
    <t>Equipment Name</t>
  </si>
  <si>
    <t>DDC01</t>
  </si>
  <si>
    <t>analogInput</t>
  </si>
  <si>
    <t>par_out_air_temp_00</t>
  </si>
  <si>
    <t>Hardpoint</t>
  </si>
  <si>
    <t>GL</t>
  </si>
  <si>
    <t>01</t>
  </si>
  <si>
    <t>C0</t>
  </si>
  <si>
    <t>par_out_air_humidity_00</t>
  </si>
  <si>
    <t>par_cwh_sup_temp_00</t>
  </si>
  <si>
    <t>par_cwh_ret_temp_00</t>
  </si>
  <si>
    <t>par_cdw_sup_temp_00</t>
  </si>
  <si>
    <t>par_cdw_ret_temp_00</t>
  </si>
  <si>
    <t>par_bypass_temp_00</t>
  </si>
  <si>
    <t>sts_bypass_vlv_00</t>
  </si>
  <si>
    <t>analogOutput</t>
  </si>
  <si>
    <t>cmd_bypass_vlv_00</t>
  </si>
  <si>
    <t>par_cdw_sup_flow_00</t>
  </si>
  <si>
    <t>par_cwh_sup_ret_pressure_00</t>
  </si>
  <si>
    <t>par_dpt_01</t>
  </si>
  <si>
    <t>par_dpt_02</t>
  </si>
  <si>
    <t>par_decimal_meter_00</t>
  </si>
  <si>
    <t>DDC07</t>
  </si>
  <si>
    <t>analogValue</t>
  </si>
  <si>
    <t>btu_meter_actual_flow_00</t>
  </si>
  <si>
    <t>Btu_Meter_Actual_Flow</t>
  </si>
  <si>
    <t>Softpoint</t>
  </si>
  <si>
    <t>btu_meter_actual_power_00</t>
  </si>
  <si>
    <t>Btu_Meter_Actual_Power</t>
  </si>
  <si>
    <t>btu_meter_energy_consump_00</t>
  </si>
  <si>
    <t>Btu_Meter_Energy_Consump</t>
  </si>
  <si>
    <t>btu_meter_inlet_temp_00</t>
  </si>
  <si>
    <t>Btu_Meter_Inlet_Temp</t>
  </si>
  <si>
    <t>btu_meter_outlet_temp_00</t>
  </si>
  <si>
    <t>Btu_Meter_Outlet_Temp</t>
  </si>
  <si>
    <t>binaryInput</t>
  </si>
  <si>
    <t>sts_on_off_00</t>
  </si>
  <si>
    <t>B0</t>
  </si>
  <si>
    <t>binaryOutput</t>
  </si>
  <si>
    <t>cmd_on_off_00</t>
  </si>
  <si>
    <t>DDC01_01</t>
  </si>
  <si>
    <t>sts_auto_manual_00</t>
  </si>
  <si>
    <t>alm_trip_00</t>
  </si>
  <si>
    <t>A</t>
  </si>
  <si>
    <t>DDC01_02</t>
  </si>
  <si>
    <t>sts_evap_vlv_on_off_00</t>
  </si>
  <si>
    <t>sts_cond_vlv_on_off_00</t>
  </si>
  <si>
    <t>DDC01_03</t>
  </si>
  <si>
    <t>cmd_evap_vlv_on_off_00</t>
  </si>
  <si>
    <t>cmd_cond_vlv_on_off_00</t>
  </si>
  <si>
    <t>sts_evap_leaving_temp_00</t>
  </si>
  <si>
    <t xml:space="preserve">CH_01_Chiller_Evap Leaving Temp </t>
  </si>
  <si>
    <t>par_evap_entering_temp_00</t>
  </si>
  <si>
    <t xml:space="preserve">CH_01_Chiller_Evap Entering Temp </t>
  </si>
  <si>
    <t>par_suction_pressure_00</t>
  </si>
  <si>
    <t>CH_01_Chiller_Evaporator Pressure</t>
  </si>
  <si>
    <t>par_discharge_pressure_00</t>
  </si>
  <si>
    <t>CH_01_Chiller_Condensor Pressure</t>
  </si>
  <si>
    <t>par_comp_oil_pressure_00</t>
  </si>
  <si>
    <t>CH_01_Chiller_ Oil Differential Pressure</t>
  </si>
  <si>
    <t>par_cond_leaving_temp_00</t>
  </si>
  <si>
    <t xml:space="preserve">CH_01_Chiller_Cond Leaving Temp </t>
  </si>
  <si>
    <t>par_cond_entering_temp_00</t>
  </si>
  <si>
    <t xml:space="preserve">CH_01_Chiller_Cond Entering Temp </t>
  </si>
  <si>
    <t>par_percent_load_00</t>
  </si>
  <si>
    <t>CH_01_Chiller_% Load</t>
  </si>
  <si>
    <t>par_vsd_current_01</t>
  </si>
  <si>
    <t>CH_01_Chiller_VSD Phase A output Current</t>
  </si>
  <si>
    <t>par_vsd_current_02</t>
  </si>
  <si>
    <t>CH_01_Chiller_VSD Phase B output Current</t>
  </si>
  <si>
    <t>par_vsd_current_03</t>
  </si>
  <si>
    <t>CH_01_Chiller_VSD Phase C output Current</t>
  </si>
  <si>
    <t>par_discharge_temp_00</t>
  </si>
  <si>
    <t>CH_01 Discharge Temperature</t>
  </si>
  <si>
    <t>par_oil_temp_00</t>
  </si>
  <si>
    <t>CH_01_Chiller_Oil Sump Temprature</t>
  </si>
  <si>
    <t>par_operating_hours_00</t>
  </si>
  <si>
    <t xml:space="preserve">CH_01_Chiller_operating hours </t>
  </si>
  <si>
    <t>par_comp_num_starts_00</t>
  </si>
  <si>
    <t>CH_01_Chiller_Number Starts</t>
  </si>
  <si>
    <t>binaryValue</t>
  </si>
  <si>
    <t>sts_chiller_panel_00</t>
  </si>
  <si>
    <t>CH_01_Chiller_Panel stop Switch</t>
  </si>
  <si>
    <t>sts_evap_flow_00</t>
  </si>
  <si>
    <t>CH_01_Chiller_Evap Flow Switch</t>
  </si>
  <si>
    <t>sts_cond_flow_00</t>
  </si>
  <si>
    <t>CH_01_Chiller_Cond Flow Switch</t>
  </si>
  <si>
    <t>alm_unit_safety_code_00</t>
  </si>
  <si>
    <t>CH_01_Chiller_Unit safety fault code Alarm</t>
  </si>
  <si>
    <t>alm_unit_cycling_code_00</t>
  </si>
  <si>
    <t>CH_01_Chiller_Unit cycling fault code Alarm</t>
  </si>
  <si>
    <t>par_operating_code_00</t>
  </si>
  <si>
    <t>CH_01_Chiller_operation code</t>
  </si>
  <si>
    <t>par_chilled_liqid_low_temp_00</t>
  </si>
  <si>
    <t>CH_01_Chiller_Leaving chilled Liquid low</t>
  </si>
  <si>
    <t>02</t>
  </si>
  <si>
    <t xml:space="preserve">CH_02_Chiller_Evap Leaving Temp </t>
  </si>
  <si>
    <t xml:space="preserve">CH_02_Chiller_Evap Entering Temp </t>
  </si>
  <si>
    <t>CH_02_Chiller_Evaporator Pressure</t>
  </si>
  <si>
    <t>CH_02_Chiller_Condensor Pressure</t>
  </si>
  <si>
    <t>CH_02_Chiller_ Oil Differential Pressure</t>
  </si>
  <si>
    <t xml:space="preserve">CH_02_Chiller_Cond Leaving Temp </t>
  </si>
  <si>
    <t xml:space="preserve">CH_02_Chiller_Cond Entering Temp </t>
  </si>
  <si>
    <t>CH_02_Chiller_% Load</t>
  </si>
  <si>
    <t>CH_02_Chiller_VSD Phase A output Current</t>
  </si>
  <si>
    <t>CH_02_Chiller_VSD Phase B output Current</t>
  </si>
  <si>
    <t>CH_02_Chiller_VSD Phase C output Current</t>
  </si>
  <si>
    <t>CH_02 Discharge Temperature</t>
  </si>
  <si>
    <t>CH_02_Chiller_Oil Sump Temprature</t>
  </si>
  <si>
    <t xml:space="preserve">CH_02_Chiller_operating hours </t>
  </si>
  <si>
    <t>CH_02_Chiller_Number Starts</t>
  </si>
  <si>
    <t>CH_02_Chiller_Panel stop Switch</t>
  </si>
  <si>
    <t>CH_02_Chiller_Evap Flow Switch</t>
  </si>
  <si>
    <t>CH_02_Chiller_Cond Flow Switch</t>
  </si>
  <si>
    <t>CH_02_Chiller_Unit safety fault code Alarm</t>
  </si>
  <si>
    <t>CH_02_Chiller_Unit cycling fault code Alarm</t>
  </si>
  <si>
    <t>CH_02_Chiller_operation code</t>
  </si>
  <si>
    <t>CH_02_Chiller_Leaving chilled Liquid low</t>
  </si>
  <si>
    <t>03</t>
  </si>
  <si>
    <t xml:space="preserve">CH_03_Chiller_Evap Leaving Temp </t>
  </si>
  <si>
    <t xml:space="preserve">CH_03_Chiller_Evap Entering Temp </t>
  </si>
  <si>
    <t>CH_03_Chiller_Evaporator Pressure</t>
  </si>
  <si>
    <t>CH_03_Chiller_Condensor Pressure</t>
  </si>
  <si>
    <t>CH_03_Chiller_ Oil Differential Pressure</t>
  </si>
  <si>
    <t xml:space="preserve">CH_03_Chiller_Cond Leaving Temp </t>
  </si>
  <si>
    <t xml:space="preserve">CH_03_Chiller_Cond Entering Temp </t>
  </si>
  <si>
    <t>CH_03_Chiller_% Load</t>
  </si>
  <si>
    <t>CH_03_Chiller_VSD Phase A output Current</t>
  </si>
  <si>
    <t>CH_03_Chiller_VSD Phase B output Current</t>
  </si>
  <si>
    <t>CH_03_Chiller_VSD Phase C output Current</t>
  </si>
  <si>
    <t>CH_03 Discharge Temperature</t>
  </si>
  <si>
    <t>CH_03_Chiller_Oil Sump Temprature</t>
  </si>
  <si>
    <t xml:space="preserve">CH_03_Chiller_operating hours </t>
  </si>
  <si>
    <t>CH_03_Chiller_Number Starts</t>
  </si>
  <si>
    <t>CH_03_Chiller_Panel stop Switch</t>
  </si>
  <si>
    <t>CH_03_Chiller_Evap Flow Switch</t>
  </si>
  <si>
    <t>CH_03_Chiller_Cond Flow Switch</t>
  </si>
  <si>
    <t>CH_03_Chiller_Unit safety fault code Alarm</t>
  </si>
  <si>
    <t>CH_03_Chiller_Unit cycling fault code Alarm</t>
  </si>
  <si>
    <t>CH_03_Chiller_operation code</t>
  </si>
  <si>
    <t>CH_03_Chiller_Leaving chilled Liquid low</t>
  </si>
  <si>
    <t>DDC02</t>
  </si>
  <si>
    <t>B2</t>
  </si>
  <si>
    <t>Primary Variable pump</t>
  </si>
  <si>
    <t>sts_pump_vfd_frequency_00</t>
  </si>
  <si>
    <t>cmd_pump_vfd_frequency_00</t>
  </si>
  <si>
    <t>par_avg_current_00</t>
  </si>
  <si>
    <t>Pump_01_Current</t>
  </si>
  <si>
    <t>par_avg_power_00</t>
  </si>
  <si>
    <t>Pump_01_Power</t>
  </si>
  <si>
    <t>par_avg_voltage_00</t>
  </si>
  <si>
    <t>Pump_01_Voltage</t>
  </si>
  <si>
    <t>par_energy_00</t>
  </si>
  <si>
    <t>Pump_01 _Energy kWH</t>
  </si>
  <si>
    <t>par_frequency_00</t>
  </si>
  <si>
    <t>Pump_01_Frequency</t>
  </si>
  <si>
    <t>par_speed_00</t>
  </si>
  <si>
    <t>Pump_01_Speed</t>
  </si>
  <si>
    <t>Pump_02_Current</t>
  </si>
  <si>
    <t>Pump_02_Power</t>
  </si>
  <si>
    <t>Pump_02_Voltage</t>
  </si>
  <si>
    <t>Pump_02 _Energy kWH</t>
  </si>
  <si>
    <t>Pump_02_Frequency</t>
  </si>
  <si>
    <t>Pump_02_Speed</t>
  </si>
  <si>
    <t>Pump_03_Current</t>
  </si>
  <si>
    <t>Pump_03_Power</t>
  </si>
  <si>
    <t>Pump_03_Voltage</t>
  </si>
  <si>
    <t>Pump_03 _Energy kWH</t>
  </si>
  <si>
    <t>Pump_03_Frequency</t>
  </si>
  <si>
    <t>Pump_03_Speed</t>
  </si>
  <si>
    <t>DDC03</t>
  </si>
  <si>
    <t>B4</t>
  </si>
  <si>
    <t>Condenser pump</t>
  </si>
  <si>
    <t>Condenser_Pump_01_Current</t>
  </si>
  <si>
    <t>Condenser_Pump_01_Power</t>
  </si>
  <si>
    <t>Condenser_Pump_01_Voltage</t>
  </si>
  <si>
    <t>Condenser_Pump_01 _Energy kWH</t>
  </si>
  <si>
    <t>Condenser_Pump_01_Frequency</t>
  </si>
  <si>
    <t>Condenser_Pump_01_Speed</t>
  </si>
  <si>
    <t>Condenser_Pump_02_Current</t>
  </si>
  <si>
    <t>Condenser_Pump_02_Power</t>
  </si>
  <si>
    <t>Condenser_Pump_02_Voltage</t>
  </si>
  <si>
    <t>Condenser_Pump_02 _Energy kWH</t>
  </si>
  <si>
    <t>Condenser_Pump_02_Frequency</t>
  </si>
  <si>
    <t>Condenser_Pump_02_Speed</t>
  </si>
  <si>
    <t>Condenser_Pump_03_Current</t>
  </si>
  <si>
    <t>Condenser_Pump_03_Power</t>
  </si>
  <si>
    <t>Condenser_Pump_03_Voltage</t>
  </si>
  <si>
    <t>Condenser_Pump_03 _Energy kWH</t>
  </si>
  <si>
    <t>Condenser_Pump_03_Frequency</t>
  </si>
  <si>
    <t>Condenser_Pump_03_Speed</t>
  </si>
  <si>
    <t>DDC04</t>
  </si>
  <si>
    <t>B7</t>
  </si>
  <si>
    <t>sts_level_switch_high_00</t>
  </si>
  <si>
    <t>sts_level_switch_low_00</t>
  </si>
  <si>
    <t>DDC04_01</t>
  </si>
  <si>
    <t>DDC04_02</t>
  </si>
  <si>
    <t>DDC04_03</t>
  </si>
  <si>
    <t>DDC05</t>
  </si>
  <si>
    <t>Cooling Tower-3 Fan-1 Auto/Manual Status</t>
  </si>
  <si>
    <t>Cooling Tower-4 Fan-1 VFD Speed Feedback</t>
  </si>
  <si>
    <t>04</t>
  </si>
  <si>
    <t>Cooling Tower-4 Sump Temperature-1</t>
  </si>
  <si>
    <t>Cooling Tower-4 Fan-1 VFD Speed Control</t>
  </si>
  <si>
    <t>Cooling Tower-4 Fan-1 VFD On/Off Command</t>
  </si>
  <si>
    <t>Cooling Tower-4 Fan-1 Run Status</t>
  </si>
  <si>
    <t>DDC05_01</t>
  </si>
  <si>
    <t>Cooling Tower-4 Fan-1 Auto/Manual Status</t>
  </si>
  <si>
    <t>Cooling Tower-4 Fan-1 Trip Status</t>
  </si>
  <si>
    <t>Cooling Tower-4 Inlet-1 isolation valves Open/Close Status</t>
  </si>
  <si>
    <t>Cooling Tower-4 Outlet-1 isolation valves Open/Close Status</t>
  </si>
  <si>
    <t>Cooling Tower-4 Inlet-1 isolation valves Open/Close Command</t>
  </si>
  <si>
    <t>Cooling Tower-4 Outlet-1 isolation valves Open/Close Command</t>
  </si>
  <si>
    <t>Cooling Tower-5 Fan-1 VFD Speed Feedback</t>
  </si>
  <si>
    <t>Cooling Tower-5 Sump Temperature-1</t>
  </si>
  <si>
    <t>Cooling Tower-5 Fan-1 VFD Speed Control</t>
  </si>
  <si>
    <t>Cooling Tower-5 Fan-1 VFD On/Off Command</t>
  </si>
  <si>
    <t>Cooling Tower-5 Fan-1 Run Status</t>
  </si>
  <si>
    <t>Cooling Tower-5 Fan-1 Auto/Manual Status</t>
  </si>
  <si>
    <t>Cooling Tower-5 Fan-1 Trip Status</t>
  </si>
  <si>
    <t>Cooling Tower-5 Inlet-1 isolation valves Open/Close Status</t>
  </si>
  <si>
    <t>Cooling Tower-5 Outlet-1 isolation valves Open/Close Status</t>
  </si>
  <si>
    <t>Cooling Tower-5 Inlet-1 isolation valves Open/Close Command</t>
  </si>
  <si>
    <t>Cooling Tower-5 Outlet-1 isolation valves Open/Close Command</t>
  </si>
  <si>
    <t>Cooling Tower-6 Fan-1 VFD Speed Feedback</t>
  </si>
  <si>
    <t>Cooling Tower-6 Sump Temperature-1</t>
  </si>
  <si>
    <t>Cooling Tower-6 Fan-1 VFD Speed Control</t>
  </si>
  <si>
    <t>Cooling Tower-6 Fan-1 VFD On/Off Command</t>
  </si>
  <si>
    <t>Cooling Tower-6 Fan-1 Run Status</t>
  </si>
  <si>
    <t>Cooling Tower-6 Fan-1 Auto/Manual Status</t>
  </si>
  <si>
    <t>Cooling Tower-6 Fan-1 Trip Status</t>
  </si>
  <si>
    <t>Cooling Tower-6 Inlet-1 isolation valves Open/Close Status</t>
  </si>
  <si>
    <t>Cooling Tower-6 Outlet-1 isolation valves Open/Close Status</t>
  </si>
  <si>
    <t>Cooling Tower-6 Inlet-1 isolation valves Open/Close Command</t>
  </si>
  <si>
    <t>Cooling Tower-6 Outlet-1 isolation valves Open/Close Command</t>
  </si>
  <si>
    <t>DDC06</t>
  </si>
  <si>
    <t>A6</t>
  </si>
  <si>
    <t>sts_bypass_vlv_01</t>
  </si>
  <si>
    <t>doubt</t>
  </si>
  <si>
    <t>sts_bypass_vlv_02</t>
  </si>
  <si>
    <t>cmd_bypass_vlv_01</t>
  </si>
  <si>
    <t>cmd_bypass_vlv_02</t>
  </si>
  <si>
    <t>Short_Names</t>
  </si>
  <si>
    <t>sts_fan_vfd_frequency_01</t>
  </si>
  <si>
    <t>sts_fan_vfd_frequency_02</t>
  </si>
  <si>
    <t>par_sump_temp_01</t>
  </si>
  <si>
    <t>par_sump_temp_02</t>
  </si>
  <si>
    <t>cmd_fan_vfd_frequency_01</t>
  </si>
  <si>
    <t>cmd_fan_vfd_frequency_02</t>
  </si>
  <si>
    <t>cmd_fan_on_off_01</t>
  </si>
  <si>
    <t>cmd_fan_on_off_02</t>
  </si>
  <si>
    <t>sts_fan_on_off_01</t>
  </si>
  <si>
    <t>sts_fan_on_off_02</t>
  </si>
  <si>
    <t>sts_fan_auto_manual_01</t>
  </si>
  <si>
    <t>sts_fan_auto_manual_02</t>
  </si>
  <si>
    <t>alm_fan_trip_01</t>
  </si>
  <si>
    <t>alm_fan_trip_02</t>
  </si>
  <si>
    <t>sts_inlet_vlv_on_off_01</t>
  </si>
  <si>
    <t>sts_inlet_vlv_on_off_02</t>
  </si>
  <si>
    <t>sts_outlet_vlv_on_off_01</t>
  </si>
  <si>
    <t>sts_outlet_vlv_on_off_02</t>
  </si>
  <si>
    <t>cmd_inlet_vlv_on_off_01</t>
  </si>
  <si>
    <t>cmd_inlet_vlv_on_off_02</t>
  </si>
  <si>
    <t>cmd_outlet_vlv_on_off_01</t>
  </si>
  <si>
    <t>cmd_outlet_vlv_on_off_02</t>
  </si>
  <si>
    <t>Short name</t>
  </si>
  <si>
    <t>Cooling_Tower2_Fan_01_Current</t>
  </si>
  <si>
    <t>Cooling_Tower2_Fan_01_Power</t>
  </si>
  <si>
    <t>Cooling_Tower2_Fan_01_Voltage</t>
  </si>
  <si>
    <t>Cooling_Tower2_Fan_01 _Energy kWH</t>
  </si>
  <si>
    <t>Cooling_Tower2_Fan_01_Frequency</t>
  </si>
  <si>
    <t>Cooling_Tower2_Fan_01_Speed</t>
  </si>
  <si>
    <t>Cooling_Tower1_Fan_1_Current</t>
  </si>
  <si>
    <t>Cooling_Tower1_Fan_1_Power</t>
  </si>
  <si>
    <t>Cooling_Tower1_Fan_1_Voltage</t>
  </si>
  <si>
    <t>Cooling_Tower1_Fan_1 _Energy kWH</t>
  </si>
  <si>
    <t>Cooling_Tower1_Fan_1_Frequency</t>
  </si>
  <si>
    <t>Cooling_Tower1_Fan_1_Speed</t>
  </si>
  <si>
    <t>sts_level_switch_high_01</t>
  </si>
  <si>
    <t>sts_level_switch_low_01</t>
  </si>
  <si>
    <t>par_avg_current_01</t>
  </si>
  <si>
    <t>par_avg_power_01</t>
  </si>
  <si>
    <t>par_avg_voltage_01</t>
  </si>
  <si>
    <t>par_energy_kwh_01</t>
  </si>
  <si>
    <t>par_frequency_01</t>
  </si>
  <si>
    <t>par_speed_01</t>
  </si>
  <si>
    <t>sts_level_switch_high_02</t>
  </si>
  <si>
    <t>sts_level_switch_low_02</t>
  </si>
  <si>
    <t>par_avg_current_02</t>
  </si>
  <si>
    <t>par_avg_power_02</t>
  </si>
  <si>
    <t>par_avg_voltage_02</t>
  </si>
  <si>
    <t>par_energy_kwh_02</t>
  </si>
  <si>
    <t>par_frequency_02</t>
  </si>
  <si>
    <t>par_speed_02</t>
  </si>
  <si>
    <t>Cooling_Tower3_Fan_01_Current</t>
  </si>
  <si>
    <t>Cooling_Tower3_Fan_01_Power</t>
  </si>
  <si>
    <t>Cooling_Tower3_Fan_01_Voltage</t>
  </si>
  <si>
    <t>Cooling_Tower3_Fan_01 _Energy kWH</t>
  </si>
  <si>
    <t>Cooling_Tower3_Fan_01_Frequency</t>
  </si>
  <si>
    <t>Cooling_Tower3_Fan_01_Speed</t>
  </si>
  <si>
    <t>Cooling_Tower4_Fan_01_Current</t>
  </si>
  <si>
    <t>Cooling_Tower4_Fan_01_Power</t>
  </si>
  <si>
    <t>Cooling_Tower4_Fan_01_Voltage</t>
  </si>
  <si>
    <t>Cooling_Tower4_Fan_01 _Energy kWH</t>
  </si>
  <si>
    <t>Cooling_Tower4_Fan_01_Frequency</t>
  </si>
  <si>
    <t>Cooling_Tower4_Fan_01_Speed</t>
  </si>
  <si>
    <t>Cooling_Tower5_Fan_01_Current</t>
  </si>
  <si>
    <t>Cooling_Tower5_Fan_01_Power</t>
  </si>
  <si>
    <t>Cooling_Tower5_Fan_01_Voltage</t>
  </si>
  <si>
    <t>Cooling_Tower5_Fan_01 _Energy kWH</t>
  </si>
  <si>
    <t>Cooling_Tower5_Fan_01_Frequency</t>
  </si>
  <si>
    <t>Cooling_Tower5_Fan_01_Speed</t>
  </si>
  <si>
    <t>Cooling_Tower6_Fan_01_Current</t>
  </si>
  <si>
    <t>Cooling_Tower6_Fan_01_Power</t>
  </si>
  <si>
    <t>Cooling_Tower6_Fan_01_Voltage</t>
  </si>
  <si>
    <t>Cooling_Tower6_Fan_01 _Energy kWH</t>
  </si>
  <si>
    <t>Cooling_Tower6_Fan_01_Frequency</t>
  </si>
  <si>
    <t>Cooling_Tower6_Fan_01_Speed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</si>
</sst>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8"/>
      <name val="Calibri"/>
      <family val="2"/>
      <scheme val="minor"/>
    </font>
    <font>
      <sz val="8"/>
      <name val="Calibri"/>
      <charset val="134"/>
      <scheme val="minor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7" fillId="0" borderId="0" xfId="0" applyFont="1" applyAlignment="1"/>
    <xf numFmtId="49" fontId="0" fillId="0" borderId="0" xfId="0" applyNumberForma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2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/>
    <xf numFmtId="0" fontId="11" fillId="0" borderId="0" xfId="0" applyFont="1" applyAlignment="1">
      <alignment horizontal="center"/>
    </xf>
    <xf numFmtId="49" fontId="11" fillId="0" borderId="0" xfId="0" quotePrefix="1" applyNumberFormat="1" applyFont="1" applyAlignment="1">
      <alignment horizontal="center"/>
    </xf>
    <xf numFmtId="0" fontId="11" fillId="0" borderId="0" xfId="0" quotePrefix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3" borderId="0" xfId="0" applyFont="1" applyFill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19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00000000-0011-0000-FFFF-FFFF01000000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6:C12" totalsRowShown="0">
  <tableColumns count="2">
    <tableColumn id="1" xr3:uid="{00000000-0010-0000-0000-000001000000}" name="Equipment" dataDxfId="1"/>
    <tableColumn id="2" xr3:uid="{00000000-0010-0000-0000-000002000000}" name="Count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C12"/>
  <sheetViews>
    <sheetView workbookViewId="0">
      <selection activeCell="B11" sqref="B11"/>
    </sheetView>
  </sheetViews>
  <sheetFormatPr defaultRowHeight="15"/>
  <cols>
    <col min="2" max="2" width="27.5703125" customWidth="1"/>
    <col min="3" max="3" width="13.28515625" style="21" customWidth="1"/>
  </cols>
  <sheetData>
    <row r="6" spans="2:3">
      <c r="B6" t="s">
        <v>0</v>
      </c>
      <c r="C6" s="21" t="s">
        <v>1</v>
      </c>
    </row>
    <row r="7" spans="2:3">
      <c r="B7" t="s">
        <v>2</v>
      </c>
      <c r="C7" s="21">
        <v>1</v>
      </c>
    </row>
    <row r="8" spans="2:3">
      <c r="B8" t="s">
        <v>3</v>
      </c>
      <c r="C8" s="21">
        <v>3</v>
      </c>
    </row>
    <row r="9" spans="2:3">
      <c r="B9" t="s">
        <v>4</v>
      </c>
      <c r="C9" s="21">
        <v>3</v>
      </c>
    </row>
    <row r="10" spans="2:3">
      <c r="B10" s="20" t="s">
        <v>5</v>
      </c>
      <c r="C10" s="21">
        <v>3</v>
      </c>
    </row>
    <row r="11" spans="2:3">
      <c r="B11" s="20" t="s">
        <v>6</v>
      </c>
      <c r="C11" s="21">
        <v>6</v>
      </c>
    </row>
    <row r="12" spans="2:3">
      <c r="B12" s="20" t="s">
        <v>7</v>
      </c>
      <c r="C12" s="2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1"/>
  <sheetViews>
    <sheetView topLeftCell="B11" zoomScaleNormal="100" workbookViewId="0">
      <selection activeCell="H13" sqref="H13"/>
    </sheetView>
  </sheetViews>
  <sheetFormatPr defaultColWidth="8.7109375" defaultRowHeight="15"/>
  <cols>
    <col min="2" max="2" width="12.140625" customWidth="1"/>
    <col min="3" max="3" width="14.42578125" customWidth="1"/>
    <col min="4" max="4" width="13.140625" bestFit="1" customWidth="1"/>
    <col min="5" max="5" width="14.85546875" bestFit="1" customWidth="1"/>
    <col min="8" max="8" width="60.42578125" customWidth="1"/>
    <col min="9" max="9" width="55.140625" bestFit="1" customWidth="1"/>
    <col min="10" max="11" width="20.5703125" bestFit="1" customWidth="1"/>
    <col min="12" max="12" width="15.5703125" bestFit="1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8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1" t="s">
        <v>21</v>
      </c>
      <c r="B2" s="1" t="s">
        <v>22</v>
      </c>
      <c r="C2" s="1" t="s">
        <v>23</v>
      </c>
      <c r="D2" s="1"/>
      <c r="E2" s="1"/>
      <c r="F2" s="1" t="s">
        <v>24</v>
      </c>
      <c r="G2" s="1" t="s">
        <v>25</v>
      </c>
      <c r="H2" s="8">
        <v>1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>
      <c r="A3" s="1" t="s">
        <v>21</v>
      </c>
      <c r="B3" s="1" t="s">
        <v>22</v>
      </c>
      <c r="C3" s="1" t="s">
        <v>23</v>
      </c>
      <c r="D3" s="1"/>
      <c r="E3" s="1"/>
      <c r="F3" s="1" t="s">
        <v>31</v>
      </c>
      <c r="G3" s="1" t="s">
        <v>25</v>
      </c>
      <c r="H3" s="8">
        <v>2</v>
      </c>
      <c r="I3" s="1" t="s">
        <v>32</v>
      </c>
      <c r="J3" s="1" t="s">
        <v>33</v>
      </c>
      <c r="K3" s="1" t="s">
        <v>28</v>
      </c>
      <c r="L3" s="1" t="s">
        <v>29</v>
      </c>
      <c r="M3" s="1" t="s">
        <v>30</v>
      </c>
    </row>
    <row r="4" spans="1:13">
      <c r="A4" s="1" t="s">
        <v>21</v>
      </c>
      <c r="B4" s="1" t="s">
        <v>22</v>
      </c>
      <c r="C4" s="1" t="s">
        <v>23</v>
      </c>
      <c r="D4" s="1"/>
      <c r="E4" s="1"/>
      <c r="F4" s="1" t="s">
        <v>34</v>
      </c>
      <c r="G4" s="1" t="s">
        <v>25</v>
      </c>
      <c r="H4" s="8">
        <v>3</v>
      </c>
      <c r="I4" s="1" t="s">
        <v>35</v>
      </c>
      <c r="J4" s="1" t="s">
        <v>36</v>
      </c>
      <c r="K4" s="1" t="s">
        <v>28</v>
      </c>
      <c r="L4" s="1" t="s">
        <v>29</v>
      </c>
      <c r="M4" s="1" t="s">
        <v>30</v>
      </c>
    </row>
    <row r="5" spans="1:13">
      <c r="A5" s="1" t="s">
        <v>21</v>
      </c>
      <c r="B5" s="1" t="s">
        <v>22</v>
      </c>
      <c r="C5" s="1" t="s">
        <v>23</v>
      </c>
      <c r="D5" s="1"/>
      <c r="E5" s="1"/>
      <c r="F5" s="1" t="s">
        <v>37</v>
      </c>
      <c r="G5" s="1" t="s">
        <v>25</v>
      </c>
      <c r="H5" s="8">
        <v>4</v>
      </c>
      <c r="I5" s="1" t="s">
        <v>38</v>
      </c>
      <c r="J5" s="1" t="s">
        <v>39</v>
      </c>
      <c r="K5" s="1" t="s">
        <v>28</v>
      </c>
      <c r="L5" s="1" t="s">
        <v>29</v>
      </c>
      <c r="M5" s="1" t="s">
        <v>30</v>
      </c>
    </row>
    <row r="6" spans="1:13">
      <c r="A6" s="1" t="s">
        <v>21</v>
      </c>
      <c r="B6" s="1" t="s">
        <v>22</v>
      </c>
      <c r="C6" s="1" t="s">
        <v>23</v>
      </c>
      <c r="D6" s="1"/>
      <c r="E6" s="1"/>
      <c r="F6" s="1" t="s">
        <v>40</v>
      </c>
      <c r="G6" s="1" t="s">
        <v>25</v>
      </c>
      <c r="H6" s="8">
        <v>5</v>
      </c>
      <c r="I6" s="1" t="s">
        <v>41</v>
      </c>
      <c r="J6" s="1" t="s">
        <v>42</v>
      </c>
      <c r="K6" s="1" t="s">
        <v>28</v>
      </c>
      <c r="L6" s="1" t="s">
        <v>29</v>
      </c>
      <c r="M6" s="1" t="s">
        <v>30</v>
      </c>
    </row>
    <row r="7" spans="1:13">
      <c r="A7" s="1" t="s">
        <v>21</v>
      </c>
      <c r="B7" s="1" t="s">
        <v>22</v>
      </c>
      <c r="C7" s="1" t="s">
        <v>23</v>
      </c>
      <c r="D7" s="1"/>
      <c r="E7" s="1"/>
      <c r="F7" s="1" t="s">
        <v>43</v>
      </c>
      <c r="G7" s="1" t="s">
        <v>25</v>
      </c>
      <c r="H7" s="8">
        <v>6</v>
      </c>
      <c r="I7" s="1" t="s">
        <v>44</v>
      </c>
      <c r="J7" s="1" t="s">
        <v>45</v>
      </c>
      <c r="K7" s="1" t="s">
        <v>28</v>
      </c>
      <c r="L7" s="1" t="s">
        <v>29</v>
      </c>
      <c r="M7" s="1" t="s">
        <v>30</v>
      </c>
    </row>
    <row r="8" spans="1:13">
      <c r="A8" s="1" t="s">
        <v>21</v>
      </c>
      <c r="B8" s="1" t="s">
        <v>22</v>
      </c>
      <c r="C8" s="1" t="s">
        <v>23</v>
      </c>
      <c r="D8" s="1"/>
      <c r="E8" s="1"/>
      <c r="F8" s="1" t="s">
        <v>46</v>
      </c>
      <c r="G8" s="1" t="s">
        <v>25</v>
      </c>
      <c r="H8" s="8">
        <v>7</v>
      </c>
      <c r="I8" s="1" t="s">
        <v>47</v>
      </c>
      <c r="J8" s="1" t="s">
        <v>48</v>
      </c>
      <c r="K8" s="1" t="s">
        <v>28</v>
      </c>
      <c r="L8" s="1" t="s">
        <v>29</v>
      </c>
      <c r="M8" s="1" t="s">
        <v>30</v>
      </c>
    </row>
    <row r="9" spans="1:13">
      <c r="A9" s="1" t="s">
        <v>21</v>
      </c>
      <c r="B9" s="1" t="s">
        <v>22</v>
      </c>
      <c r="C9" s="1" t="s">
        <v>23</v>
      </c>
      <c r="D9" s="1"/>
      <c r="E9" s="1"/>
      <c r="F9" s="1" t="s">
        <v>49</v>
      </c>
      <c r="G9" s="1" t="s">
        <v>25</v>
      </c>
      <c r="H9" s="8">
        <v>8</v>
      </c>
      <c r="I9" s="1" t="s">
        <v>50</v>
      </c>
      <c r="J9" s="9" t="s">
        <v>51</v>
      </c>
      <c r="K9" s="9" t="s">
        <v>28</v>
      </c>
      <c r="L9" s="9" t="s">
        <v>52</v>
      </c>
      <c r="M9" s="1" t="s">
        <v>30</v>
      </c>
    </row>
    <row r="10" spans="1:13">
      <c r="A10" s="1" t="s">
        <v>21</v>
      </c>
      <c r="B10" s="1" t="s">
        <v>22</v>
      </c>
      <c r="C10" s="1" t="s">
        <v>23</v>
      </c>
      <c r="D10" s="1"/>
      <c r="E10" s="1"/>
      <c r="F10" s="1" t="s">
        <v>53</v>
      </c>
      <c r="G10" s="1" t="s">
        <v>54</v>
      </c>
      <c r="H10" s="8">
        <v>1</v>
      </c>
      <c r="I10" s="1" t="s">
        <v>55</v>
      </c>
      <c r="J10" s="9" t="s">
        <v>51</v>
      </c>
      <c r="K10" s="9" t="s">
        <v>28</v>
      </c>
      <c r="L10" s="9" t="s">
        <v>52</v>
      </c>
      <c r="M10" s="9" t="s">
        <v>56</v>
      </c>
    </row>
    <row r="11" spans="1:13">
      <c r="A11" s="1" t="s">
        <v>21</v>
      </c>
      <c r="B11" s="1" t="s">
        <v>22</v>
      </c>
      <c r="C11" s="1" t="s">
        <v>23</v>
      </c>
      <c r="D11" s="1"/>
      <c r="E11" s="1"/>
      <c r="F11" s="1" t="s">
        <v>57</v>
      </c>
      <c r="G11" s="1" t="s">
        <v>54</v>
      </c>
      <c r="H11" s="8">
        <v>2</v>
      </c>
      <c r="I11" s="1" t="s">
        <v>58</v>
      </c>
      <c r="J11" s="1"/>
      <c r="K11" s="1" t="s">
        <v>58</v>
      </c>
      <c r="L11" s="1" t="s">
        <v>58</v>
      </c>
      <c r="M11" s="1" t="s">
        <v>58</v>
      </c>
    </row>
    <row r="12" spans="1:13">
      <c r="A12" s="1" t="s">
        <v>21</v>
      </c>
      <c r="B12" s="1" t="s">
        <v>22</v>
      </c>
      <c r="C12" s="1" t="s">
        <v>23</v>
      </c>
      <c r="D12" s="1"/>
      <c r="E12" s="1"/>
      <c r="F12" s="1" t="s">
        <v>59</v>
      </c>
      <c r="G12" s="1" t="s">
        <v>54</v>
      </c>
      <c r="H12" s="8">
        <v>3</v>
      </c>
      <c r="I12" s="1" t="s">
        <v>58</v>
      </c>
      <c r="J12" s="1"/>
      <c r="K12" s="1" t="s">
        <v>58</v>
      </c>
      <c r="L12" s="1" t="s">
        <v>58</v>
      </c>
      <c r="M12" s="1" t="s">
        <v>58</v>
      </c>
    </row>
    <row r="13" spans="1:13">
      <c r="A13" s="1" t="s">
        <v>21</v>
      </c>
      <c r="B13" s="1" t="s">
        <v>22</v>
      </c>
      <c r="C13" s="1" t="s">
        <v>23</v>
      </c>
      <c r="D13" s="1"/>
      <c r="E13" s="1"/>
      <c r="F13" s="1" t="s">
        <v>60</v>
      </c>
      <c r="G13" s="1" t="s">
        <v>54</v>
      </c>
      <c r="H13" s="8">
        <v>4</v>
      </c>
      <c r="I13" s="1" t="s">
        <v>58</v>
      </c>
      <c r="J13" s="1"/>
      <c r="K13" s="1" t="s">
        <v>58</v>
      </c>
      <c r="L13" s="1" t="s">
        <v>58</v>
      </c>
      <c r="M13" s="1" t="s">
        <v>58</v>
      </c>
    </row>
    <row r="14" spans="1:13">
      <c r="A14" s="1" t="s">
        <v>21</v>
      </c>
      <c r="B14" s="1" t="s">
        <v>22</v>
      </c>
      <c r="C14" s="1" t="s">
        <v>23</v>
      </c>
      <c r="D14" s="1"/>
      <c r="E14" s="1"/>
      <c r="F14" s="1" t="s">
        <v>61</v>
      </c>
      <c r="G14" s="1" t="s">
        <v>62</v>
      </c>
      <c r="H14" s="8">
        <v>1</v>
      </c>
      <c r="I14" s="1" t="s">
        <v>58</v>
      </c>
      <c r="J14" s="1"/>
      <c r="K14" s="1" t="s">
        <v>58</v>
      </c>
      <c r="L14" s="1" t="s">
        <v>58</v>
      </c>
      <c r="M14" s="1" t="s">
        <v>58</v>
      </c>
    </row>
    <row r="15" spans="1:13">
      <c r="A15" s="1" t="s">
        <v>21</v>
      </c>
      <c r="B15" s="1" t="s">
        <v>22</v>
      </c>
      <c r="C15" s="1" t="s">
        <v>23</v>
      </c>
      <c r="D15" s="1"/>
      <c r="E15" s="1"/>
      <c r="F15" s="1" t="s">
        <v>63</v>
      </c>
      <c r="G15" s="1" t="s">
        <v>62</v>
      </c>
      <c r="H15" s="8">
        <v>2</v>
      </c>
      <c r="I15" s="1" t="s">
        <v>58</v>
      </c>
      <c r="J15" s="1"/>
      <c r="K15" s="1" t="s">
        <v>58</v>
      </c>
      <c r="L15" s="1" t="s">
        <v>58</v>
      </c>
      <c r="M15" s="1" t="s">
        <v>58</v>
      </c>
    </row>
    <row r="16" spans="1:13">
      <c r="A16" s="1" t="s">
        <v>21</v>
      </c>
      <c r="B16" s="1" t="s">
        <v>22</v>
      </c>
      <c r="C16" s="1" t="s">
        <v>23</v>
      </c>
      <c r="D16" s="1"/>
      <c r="E16" s="1"/>
      <c r="F16" s="1" t="s">
        <v>64</v>
      </c>
      <c r="G16" s="1" t="s">
        <v>62</v>
      </c>
      <c r="H16" s="8">
        <v>3</v>
      </c>
      <c r="I16" s="1" t="s">
        <v>58</v>
      </c>
      <c r="J16" s="1"/>
      <c r="K16" s="1" t="s">
        <v>58</v>
      </c>
      <c r="L16" s="1" t="s">
        <v>58</v>
      </c>
      <c r="M16" s="1" t="s">
        <v>58</v>
      </c>
    </row>
    <row r="17" spans="1:13">
      <c r="A17" s="1" t="s">
        <v>21</v>
      </c>
      <c r="B17" s="1" t="s">
        <v>22</v>
      </c>
      <c r="C17" s="1" t="s">
        <v>23</v>
      </c>
      <c r="D17" s="1"/>
      <c r="E17" s="1"/>
      <c r="F17" s="1" t="s">
        <v>65</v>
      </c>
      <c r="G17" s="1" t="s">
        <v>62</v>
      </c>
      <c r="H17" s="8">
        <v>4</v>
      </c>
      <c r="I17" s="1" t="s">
        <v>58</v>
      </c>
      <c r="J17" s="1"/>
      <c r="K17" s="1" t="s">
        <v>58</v>
      </c>
      <c r="L17" s="1" t="s">
        <v>58</v>
      </c>
      <c r="M17" s="1" t="s">
        <v>58</v>
      </c>
    </row>
    <row r="18" spans="1:13">
      <c r="A18" s="1" t="s">
        <v>21</v>
      </c>
      <c r="B18" s="1" t="s">
        <v>22</v>
      </c>
      <c r="C18" s="1"/>
      <c r="D18" s="1" t="s">
        <v>66</v>
      </c>
      <c r="E18" s="1" t="s">
        <v>67</v>
      </c>
      <c r="F18" s="1" t="s">
        <v>24</v>
      </c>
      <c r="G18" s="1" t="s">
        <v>25</v>
      </c>
      <c r="H18" s="8">
        <v>9</v>
      </c>
      <c r="I18" s="1" t="s">
        <v>68</v>
      </c>
      <c r="J18" s="1" t="s">
        <v>69</v>
      </c>
      <c r="K18" s="1" t="s">
        <v>28</v>
      </c>
      <c r="L18" s="1" t="s">
        <v>29</v>
      </c>
      <c r="M18" s="1" t="s">
        <v>30</v>
      </c>
    </row>
    <row r="19" spans="1:13">
      <c r="A19" s="1" t="s">
        <v>21</v>
      </c>
      <c r="B19" s="1" t="s">
        <v>22</v>
      </c>
      <c r="C19" s="1"/>
      <c r="D19" s="1" t="s">
        <v>66</v>
      </c>
      <c r="E19" s="1" t="s">
        <v>67</v>
      </c>
      <c r="F19" s="1" t="s">
        <v>31</v>
      </c>
      <c r="G19" s="1" t="s">
        <v>25</v>
      </c>
      <c r="H19" s="8">
        <v>10</v>
      </c>
      <c r="I19" s="1" t="s">
        <v>70</v>
      </c>
      <c r="J19" s="1" t="s">
        <v>71</v>
      </c>
      <c r="K19" s="1" t="s">
        <v>28</v>
      </c>
      <c r="L19" s="1" t="s">
        <v>29</v>
      </c>
      <c r="M19" s="1" t="s">
        <v>30</v>
      </c>
    </row>
    <row r="20" spans="1:13">
      <c r="A20" s="1" t="s">
        <v>21</v>
      </c>
      <c r="B20" s="1" t="s">
        <v>22</v>
      </c>
      <c r="C20" s="1"/>
      <c r="D20" s="1" t="s">
        <v>66</v>
      </c>
      <c r="E20" s="1" t="s">
        <v>67</v>
      </c>
      <c r="F20" s="1" t="s">
        <v>34</v>
      </c>
      <c r="G20" s="1" t="s">
        <v>25</v>
      </c>
      <c r="H20" s="8">
        <v>11</v>
      </c>
      <c r="I20" s="1" t="s">
        <v>72</v>
      </c>
      <c r="J20" s="1" t="s">
        <v>73</v>
      </c>
      <c r="K20" s="1" t="s">
        <v>28</v>
      </c>
      <c r="L20" s="1" t="s">
        <v>29</v>
      </c>
      <c r="M20" s="1" t="s">
        <v>30</v>
      </c>
    </row>
    <row r="21" spans="1:13">
      <c r="A21" s="1" t="s">
        <v>21</v>
      </c>
      <c r="B21" s="1" t="s">
        <v>22</v>
      </c>
      <c r="C21" s="1"/>
      <c r="D21" s="1" t="s">
        <v>66</v>
      </c>
      <c r="E21" s="1" t="s">
        <v>67</v>
      </c>
      <c r="F21" s="1" t="s">
        <v>37</v>
      </c>
      <c r="G21" s="1" t="s">
        <v>25</v>
      </c>
      <c r="H21" s="8">
        <v>12</v>
      </c>
      <c r="I21" s="1" t="s">
        <v>74</v>
      </c>
      <c r="J21" s="1" t="s">
        <v>75</v>
      </c>
      <c r="K21" s="1" t="s">
        <v>28</v>
      </c>
      <c r="L21" s="1" t="s">
        <v>29</v>
      </c>
      <c r="M21" s="1" t="s">
        <v>30</v>
      </c>
    </row>
    <row r="22" spans="1:13">
      <c r="A22" s="1" t="s">
        <v>21</v>
      </c>
      <c r="B22" s="1" t="s">
        <v>22</v>
      </c>
      <c r="C22" s="1"/>
      <c r="D22" s="1" t="s">
        <v>66</v>
      </c>
      <c r="E22" s="1" t="s">
        <v>67</v>
      </c>
      <c r="F22" s="1" t="s">
        <v>40</v>
      </c>
      <c r="G22" s="1" t="s">
        <v>25</v>
      </c>
      <c r="H22" s="8">
        <v>13</v>
      </c>
      <c r="I22" s="1" t="s">
        <v>76</v>
      </c>
      <c r="J22" s="1" t="s">
        <v>77</v>
      </c>
      <c r="K22" s="1" t="s">
        <v>28</v>
      </c>
      <c r="L22" s="1" t="s">
        <v>29</v>
      </c>
      <c r="M22" s="1" t="s">
        <v>30</v>
      </c>
    </row>
    <row r="23" spans="1:13">
      <c r="A23" s="1" t="s">
        <v>21</v>
      </c>
      <c r="B23" s="1" t="s">
        <v>22</v>
      </c>
      <c r="C23" s="1"/>
      <c r="D23" s="1" t="s">
        <v>66</v>
      </c>
      <c r="E23" s="1" t="s">
        <v>67</v>
      </c>
      <c r="F23" s="1" t="s">
        <v>43</v>
      </c>
      <c r="G23" s="1" t="s">
        <v>78</v>
      </c>
      <c r="H23" s="8">
        <v>9</v>
      </c>
      <c r="I23" s="24" t="s">
        <v>79</v>
      </c>
      <c r="J23" s="1" t="s">
        <v>80</v>
      </c>
      <c r="K23" s="1" t="s">
        <v>81</v>
      </c>
      <c r="L23" s="1" t="s">
        <v>3</v>
      </c>
      <c r="M23" s="1" t="s">
        <v>30</v>
      </c>
    </row>
    <row r="24" spans="1:13">
      <c r="A24" s="1" t="s">
        <v>21</v>
      </c>
      <c r="B24" s="1" t="s">
        <v>22</v>
      </c>
      <c r="C24" s="1"/>
      <c r="D24" s="1" t="s">
        <v>66</v>
      </c>
      <c r="E24" s="1" t="s">
        <v>67</v>
      </c>
      <c r="F24" s="1" t="s">
        <v>61</v>
      </c>
      <c r="G24" s="1" t="s">
        <v>62</v>
      </c>
      <c r="H24" s="8">
        <v>5</v>
      </c>
      <c r="I24" s="1" t="s">
        <v>82</v>
      </c>
      <c r="J24" s="1" t="s">
        <v>80</v>
      </c>
      <c r="K24" s="1" t="s">
        <v>81</v>
      </c>
      <c r="L24" s="1" t="s">
        <v>3</v>
      </c>
      <c r="M24" s="1" t="s">
        <v>56</v>
      </c>
    </row>
    <row r="25" spans="1:13">
      <c r="A25" s="1" t="s">
        <v>21</v>
      </c>
      <c r="B25" s="1" t="s">
        <v>22</v>
      </c>
      <c r="C25" s="1"/>
      <c r="D25" s="1" t="s">
        <v>66</v>
      </c>
      <c r="E25" s="1" t="s">
        <v>67</v>
      </c>
      <c r="F25" s="1" t="s">
        <v>63</v>
      </c>
      <c r="G25" s="1" t="s">
        <v>62</v>
      </c>
      <c r="H25" s="8">
        <v>6</v>
      </c>
      <c r="I25" s="1" t="s">
        <v>58</v>
      </c>
      <c r="J25" s="1"/>
      <c r="K25" s="1" t="s">
        <v>58</v>
      </c>
      <c r="L25" s="1" t="s">
        <v>58</v>
      </c>
      <c r="M25" s="1" t="s">
        <v>58</v>
      </c>
    </row>
    <row r="26" spans="1:13">
      <c r="A26" s="1" t="s">
        <v>21</v>
      </c>
      <c r="B26" s="1" t="s">
        <v>22</v>
      </c>
      <c r="C26" s="1"/>
      <c r="D26" s="1" t="s">
        <v>83</v>
      </c>
      <c r="E26" s="1" t="s">
        <v>84</v>
      </c>
      <c r="F26" s="1" t="s">
        <v>85</v>
      </c>
      <c r="G26" s="1" t="s">
        <v>78</v>
      </c>
      <c r="H26" s="8">
        <v>1</v>
      </c>
      <c r="I26" s="24" t="s">
        <v>86</v>
      </c>
      <c r="J26" s="1" t="s">
        <v>80</v>
      </c>
      <c r="K26" s="1" t="s">
        <v>81</v>
      </c>
      <c r="L26" s="1" t="s">
        <v>3</v>
      </c>
      <c r="M26" s="1" t="s">
        <v>30</v>
      </c>
    </row>
    <row r="27" spans="1:13">
      <c r="A27" s="1" t="s">
        <v>21</v>
      </c>
      <c r="B27" s="1" t="s">
        <v>22</v>
      </c>
      <c r="C27" s="1"/>
      <c r="D27" s="1" t="s">
        <v>83</v>
      </c>
      <c r="E27" s="1" t="s">
        <v>84</v>
      </c>
      <c r="F27" s="1" t="s">
        <v>87</v>
      </c>
      <c r="G27" s="1" t="s">
        <v>78</v>
      </c>
      <c r="H27" s="8">
        <v>2</v>
      </c>
      <c r="I27" s="24" t="s">
        <v>88</v>
      </c>
      <c r="J27" s="1" t="s">
        <v>89</v>
      </c>
      <c r="K27" s="1" t="s">
        <v>81</v>
      </c>
      <c r="L27" s="1" t="s">
        <v>3</v>
      </c>
      <c r="M27" s="1" t="s">
        <v>30</v>
      </c>
    </row>
    <row r="28" spans="1:13">
      <c r="A28" s="1" t="s">
        <v>21</v>
      </c>
      <c r="B28" s="1" t="s">
        <v>22</v>
      </c>
      <c r="C28" s="1"/>
      <c r="D28" s="1" t="s">
        <v>83</v>
      </c>
      <c r="E28" s="1" t="s">
        <v>84</v>
      </c>
      <c r="F28" s="1" t="s">
        <v>90</v>
      </c>
      <c r="G28" s="1" t="s">
        <v>78</v>
      </c>
      <c r="H28" s="8">
        <v>3</v>
      </c>
      <c r="I28" s="24" t="s">
        <v>91</v>
      </c>
      <c r="J28" s="1" t="s">
        <v>92</v>
      </c>
      <c r="K28" s="1" t="s">
        <v>81</v>
      </c>
      <c r="L28" s="1" t="s">
        <v>3</v>
      </c>
      <c r="M28" s="1" t="s">
        <v>30</v>
      </c>
    </row>
    <row r="29" spans="1:13">
      <c r="A29" s="1" t="s">
        <v>21</v>
      </c>
      <c r="B29" s="1" t="s">
        <v>22</v>
      </c>
      <c r="C29" s="1"/>
      <c r="D29" s="1" t="s">
        <v>83</v>
      </c>
      <c r="E29" s="1" t="s">
        <v>84</v>
      </c>
      <c r="F29" s="1" t="s">
        <v>93</v>
      </c>
      <c r="G29" s="1" t="s">
        <v>78</v>
      </c>
      <c r="H29" s="8">
        <v>4</v>
      </c>
      <c r="I29" s="24" t="s">
        <v>94</v>
      </c>
      <c r="J29" s="1" t="s">
        <v>80</v>
      </c>
      <c r="K29" s="1" t="s">
        <v>81</v>
      </c>
      <c r="L29" s="1" t="s">
        <v>3</v>
      </c>
      <c r="M29" s="1" t="s">
        <v>30</v>
      </c>
    </row>
    <row r="30" spans="1:13">
      <c r="A30" s="1" t="s">
        <v>21</v>
      </c>
      <c r="B30" s="1" t="s">
        <v>22</v>
      </c>
      <c r="C30" s="1"/>
      <c r="D30" s="1" t="s">
        <v>83</v>
      </c>
      <c r="E30" s="1" t="s">
        <v>84</v>
      </c>
      <c r="F30" s="1" t="s">
        <v>95</v>
      </c>
      <c r="G30" s="1" t="s">
        <v>78</v>
      </c>
      <c r="H30" s="8">
        <v>5</v>
      </c>
      <c r="I30" s="24" t="s">
        <v>96</v>
      </c>
      <c r="J30" s="1" t="s">
        <v>89</v>
      </c>
      <c r="K30" s="1" t="s">
        <v>81</v>
      </c>
      <c r="L30" s="1" t="s">
        <v>3</v>
      </c>
      <c r="M30" s="1" t="s">
        <v>30</v>
      </c>
    </row>
    <row r="31" spans="1:13">
      <c r="A31" s="1" t="s">
        <v>21</v>
      </c>
      <c r="B31" s="1" t="s">
        <v>22</v>
      </c>
      <c r="C31" s="1"/>
      <c r="D31" s="1" t="s">
        <v>83</v>
      </c>
      <c r="E31" s="1" t="s">
        <v>84</v>
      </c>
      <c r="F31" s="1" t="s">
        <v>97</v>
      </c>
      <c r="G31" s="1" t="s">
        <v>78</v>
      </c>
      <c r="H31" s="8">
        <v>6</v>
      </c>
      <c r="I31" s="24" t="s">
        <v>98</v>
      </c>
      <c r="J31" s="1" t="s">
        <v>92</v>
      </c>
      <c r="K31" s="1" t="s">
        <v>81</v>
      </c>
      <c r="L31" s="1" t="s">
        <v>3</v>
      </c>
      <c r="M31" s="1" t="s">
        <v>30</v>
      </c>
    </row>
    <row r="32" spans="1:13">
      <c r="A32" s="1" t="s">
        <v>21</v>
      </c>
      <c r="B32" s="1" t="s">
        <v>22</v>
      </c>
      <c r="C32" s="1"/>
      <c r="D32" s="1" t="s">
        <v>83</v>
      </c>
      <c r="E32" s="1" t="s">
        <v>84</v>
      </c>
      <c r="F32" s="1" t="s">
        <v>99</v>
      </c>
      <c r="G32" s="1" t="s">
        <v>78</v>
      </c>
      <c r="H32" s="8">
        <v>7</v>
      </c>
      <c r="I32" s="1" t="s">
        <v>58</v>
      </c>
      <c r="J32" s="1"/>
      <c r="K32" s="1" t="s">
        <v>58</v>
      </c>
      <c r="L32" s="1" t="s">
        <v>58</v>
      </c>
      <c r="M32" s="1" t="s">
        <v>58</v>
      </c>
    </row>
    <row r="33" spans="1:13">
      <c r="A33" s="1" t="s">
        <v>21</v>
      </c>
      <c r="B33" s="1" t="s">
        <v>22</v>
      </c>
      <c r="C33" s="1"/>
      <c r="D33" s="1" t="s">
        <v>83</v>
      </c>
      <c r="E33" s="1" t="s">
        <v>84</v>
      </c>
      <c r="F33" s="1" t="s">
        <v>100</v>
      </c>
      <c r="G33" s="1" t="s">
        <v>78</v>
      </c>
      <c r="H33" s="8">
        <v>8</v>
      </c>
      <c r="I33" s="1" t="s">
        <v>58</v>
      </c>
      <c r="J33" s="1"/>
      <c r="K33" s="1" t="s">
        <v>58</v>
      </c>
      <c r="L33" s="1" t="s">
        <v>58</v>
      </c>
      <c r="M33" s="1" t="s">
        <v>58</v>
      </c>
    </row>
    <row r="34" spans="1:13">
      <c r="A34" s="1" t="s">
        <v>21</v>
      </c>
      <c r="B34" s="1" t="s">
        <v>22</v>
      </c>
      <c r="C34" s="1"/>
      <c r="D34" s="1" t="s">
        <v>101</v>
      </c>
      <c r="E34" s="1" t="s">
        <v>84</v>
      </c>
      <c r="F34" s="1" t="s">
        <v>85</v>
      </c>
      <c r="G34" s="1" t="s">
        <v>78</v>
      </c>
      <c r="H34" s="8">
        <v>1</v>
      </c>
      <c r="I34" s="1" t="s">
        <v>102</v>
      </c>
      <c r="J34" s="1" t="s">
        <v>103</v>
      </c>
      <c r="K34" s="1" t="s">
        <v>81</v>
      </c>
      <c r="L34" s="1" t="s">
        <v>52</v>
      </c>
      <c r="M34" s="1" t="s">
        <v>30</v>
      </c>
    </row>
    <row r="35" spans="1:13">
      <c r="A35" s="1" t="s">
        <v>21</v>
      </c>
      <c r="B35" s="1" t="s">
        <v>22</v>
      </c>
      <c r="C35" s="1"/>
      <c r="D35" s="1" t="s">
        <v>101</v>
      </c>
      <c r="E35" s="1" t="s">
        <v>84</v>
      </c>
      <c r="F35" s="1" t="s">
        <v>87</v>
      </c>
      <c r="G35" s="1" t="s">
        <v>78</v>
      </c>
      <c r="H35" s="8">
        <v>2</v>
      </c>
      <c r="I35" s="1" t="s">
        <v>104</v>
      </c>
      <c r="J35" s="1" t="s">
        <v>105</v>
      </c>
      <c r="K35" s="1" t="s">
        <v>81</v>
      </c>
      <c r="L35" s="1" t="s">
        <v>52</v>
      </c>
      <c r="M35" s="1" t="s">
        <v>30</v>
      </c>
    </row>
    <row r="36" spans="1:13">
      <c r="A36" s="1" t="s">
        <v>21</v>
      </c>
      <c r="B36" s="1" t="s">
        <v>22</v>
      </c>
      <c r="C36" s="1"/>
      <c r="D36" s="1" t="s">
        <v>101</v>
      </c>
      <c r="E36" s="1" t="s">
        <v>84</v>
      </c>
      <c r="F36" s="1" t="s">
        <v>90</v>
      </c>
      <c r="G36" s="1" t="s">
        <v>78</v>
      </c>
      <c r="H36" s="8">
        <v>3</v>
      </c>
      <c r="I36" s="1" t="s">
        <v>106</v>
      </c>
      <c r="J36" s="1" t="s">
        <v>107</v>
      </c>
      <c r="K36" s="1" t="s">
        <v>81</v>
      </c>
      <c r="L36" s="1" t="s">
        <v>52</v>
      </c>
      <c r="M36" s="1" t="s">
        <v>30</v>
      </c>
    </row>
    <row r="37" spans="1:13">
      <c r="A37" s="1" t="s">
        <v>21</v>
      </c>
      <c r="B37" s="1" t="s">
        <v>22</v>
      </c>
      <c r="C37" s="1"/>
      <c r="D37" s="1" t="s">
        <v>101</v>
      </c>
      <c r="E37" s="1" t="s">
        <v>84</v>
      </c>
      <c r="F37" s="1" t="s">
        <v>93</v>
      </c>
      <c r="G37" s="1" t="s">
        <v>78</v>
      </c>
      <c r="H37" s="8">
        <v>4</v>
      </c>
      <c r="I37" s="1" t="s">
        <v>108</v>
      </c>
      <c r="J37" s="1" t="s">
        <v>109</v>
      </c>
      <c r="K37" s="1" t="s">
        <v>81</v>
      </c>
      <c r="L37" s="1" t="s">
        <v>52</v>
      </c>
      <c r="M37" s="1" t="s">
        <v>30</v>
      </c>
    </row>
    <row r="38" spans="1:13">
      <c r="A38" s="1" t="s">
        <v>21</v>
      </c>
      <c r="B38" s="1" t="s">
        <v>22</v>
      </c>
      <c r="C38" s="1"/>
      <c r="D38" s="1" t="s">
        <v>101</v>
      </c>
      <c r="E38" s="1" t="s">
        <v>84</v>
      </c>
      <c r="F38" s="1" t="s">
        <v>95</v>
      </c>
      <c r="G38" s="1" t="s">
        <v>78</v>
      </c>
      <c r="H38" s="8">
        <v>5</v>
      </c>
      <c r="I38" s="1" t="s">
        <v>110</v>
      </c>
      <c r="J38" s="1" t="s">
        <v>111</v>
      </c>
      <c r="K38" s="1" t="s">
        <v>81</v>
      </c>
      <c r="L38" s="1" t="s">
        <v>52</v>
      </c>
      <c r="M38" s="1" t="s">
        <v>30</v>
      </c>
    </row>
    <row r="39" spans="1:13">
      <c r="A39" s="1" t="s">
        <v>21</v>
      </c>
      <c r="B39" s="1" t="s">
        <v>22</v>
      </c>
      <c r="C39" s="1"/>
      <c r="D39" s="1" t="s">
        <v>101</v>
      </c>
      <c r="E39" s="1" t="s">
        <v>84</v>
      </c>
      <c r="F39" s="1" t="s">
        <v>97</v>
      </c>
      <c r="G39" s="1" t="s">
        <v>78</v>
      </c>
      <c r="H39" s="8">
        <v>6</v>
      </c>
      <c r="I39" s="1" t="s">
        <v>112</v>
      </c>
      <c r="J39" s="1" t="s">
        <v>113</v>
      </c>
      <c r="K39" s="1" t="s">
        <v>81</v>
      </c>
      <c r="L39" s="1" t="s">
        <v>52</v>
      </c>
      <c r="M39" s="1" t="s">
        <v>30</v>
      </c>
    </row>
    <row r="40" spans="1:13">
      <c r="A40" s="1" t="s">
        <v>21</v>
      </c>
      <c r="B40" s="1" t="s">
        <v>22</v>
      </c>
      <c r="C40" s="1"/>
      <c r="D40" s="1" t="s">
        <v>101</v>
      </c>
      <c r="E40" s="1" t="s">
        <v>84</v>
      </c>
      <c r="F40" s="1" t="s">
        <v>99</v>
      </c>
      <c r="G40" s="1" t="s">
        <v>78</v>
      </c>
      <c r="H40" s="8">
        <v>7</v>
      </c>
      <c r="I40" s="24" t="s">
        <v>114</v>
      </c>
      <c r="J40" s="1" t="s">
        <v>89</v>
      </c>
      <c r="K40" s="1" t="s">
        <v>81</v>
      </c>
      <c r="L40" s="1" t="s">
        <v>3</v>
      </c>
      <c r="M40" s="1" t="s">
        <v>30</v>
      </c>
    </row>
    <row r="41" spans="1:13">
      <c r="A41" s="1" t="s">
        <v>21</v>
      </c>
      <c r="B41" s="1" t="s">
        <v>22</v>
      </c>
      <c r="C41" s="1"/>
      <c r="D41" s="1" t="s">
        <v>101</v>
      </c>
      <c r="E41" s="1" t="s">
        <v>84</v>
      </c>
      <c r="F41" s="1" t="s">
        <v>100</v>
      </c>
      <c r="G41" s="1" t="s">
        <v>78</v>
      </c>
      <c r="H41" s="8">
        <v>8</v>
      </c>
      <c r="I41" s="24" t="s">
        <v>115</v>
      </c>
      <c r="J41" s="1" t="s">
        <v>92</v>
      </c>
      <c r="K41" s="1" t="s">
        <v>81</v>
      </c>
      <c r="L41" s="1" t="s">
        <v>3</v>
      </c>
      <c r="M41" s="1" t="s">
        <v>30</v>
      </c>
    </row>
    <row r="42" spans="1:13">
      <c r="A42" s="1" t="s">
        <v>21</v>
      </c>
      <c r="B42" s="1" t="s">
        <v>22</v>
      </c>
      <c r="C42" s="1"/>
      <c r="D42" s="1" t="s">
        <v>116</v>
      </c>
      <c r="E42" s="1" t="s">
        <v>117</v>
      </c>
      <c r="F42" s="1" t="s">
        <v>61</v>
      </c>
      <c r="G42" s="1" t="s">
        <v>62</v>
      </c>
      <c r="H42" s="8">
        <v>1</v>
      </c>
      <c r="I42" s="1" t="s">
        <v>118</v>
      </c>
      <c r="J42" s="1" t="s">
        <v>103</v>
      </c>
      <c r="K42" s="1" t="s">
        <v>81</v>
      </c>
      <c r="L42" s="1" t="s">
        <v>52</v>
      </c>
      <c r="M42" s="1" t="s">
        <v>56</v>
      </c>
    </row>
    <row r="43" spans="1:13">
      <c r="A43" s="1" t="s">
        <v>21</v>
      </c>
      <c r="B43" s="1" t="s">
        <v>22</v>
      </c>
      <c r="C43" s="1"/>
      <c r="D43" s="1" t="s">
        <v>116</v>
      </c>
      <c r="E43" s="1" t="s">
        <v>117</v>
      </c>
      <c r="F43" s="1" t="s">
        <v>63</v>
      </c>
      <c r="G43" s="1" t="s">
        <v>62</v>
      </c>
      <c r="H43" s="8">
        <v>2</v>
      </c>
      <c r="I43" s="1" t="s">
        <v>119</v>
      </c>
      <c r="J43" s="1" t="s">
        <v>105</v>
      </c>
      <c r="K43" s="1" t="s">
        <v>81</v>
      </c>
      <c r="L43" s="1" t="s">
        <v>52</v>
      </c>
      <c r="M43" s="1" t="s">
        <v>56</v>
      </c>
    </row>
    <row r="44" spans="1:13">
      <c r="A44" s="1" t="s">
        <v>21</v>
      </c>
      <c r="B44" s="1" t="s">
        <v>22</v>
      </c>
      <c r="C44" s="1"/>
      <c r="D44" s="1" t="s">
        <v>116</v>
      </c>
      <c r="E44" s="1" t="s">
        <v>117</v>
      </c>
      <c r="F44" s="1" t="s">
        <v>64</v>
      </c>
      <c r="G44" s="1" t="s">
        <v>62</v>
      </c>
      <c r="H44" s="8">
        <v>3</v>
      </c>
      <c r="I44" s="1" t="s">
        <v>120</v>
      </c>
      <c r="J44" s="1" t="s">
        <v>107</v>
      </c>
      <c r="K44" s="1" t="s">
        <v>81</v>
      </c>
      <c r="L44" s="1" t="s">
        <v>52</v>
      </c>
      <c r="M44" s="1" t="s">
        <v>56</v>
      </c>
    </row>
    <row r="45" spans="1:13">
      <c r="A45" s="1" t="s">
        <v>21</v>
      </c>
      <c r="B45" s="1" t="s">
        <v>22</v>
      </c>
      <c r="C45" s="1"/>
      <c r="D45" s="1" t="s">
        <v>116</v>
      </c>
      <c r="E45" s="1" t="s">
        <v>117</v>
      </c>
      <c r="F45" s="1" t="s">
        <v>65</v>
      </c>
      <c r="G45" s="1" t="s">
        <v>62</v>
      </c>
      <c r="H45" s="8">
        <v>4</v>
      </c>
      <c r="I45" s="1" t="s">
        <v>121</v>
      </c>
      <c r="J45" s="1" t="s">
        <v>109</v>
      </c>
      <c r="K45" s="1" t="s">
        <v>81</v>
      </c>
      <c r="L45" s="1" t="s">
        <v>52</v>
      </c>
      <c r="M45" s="1" t="s">
        <v>56</v>
      </c>
    </row>
    <row r="46" spans="1:13">
      <c r="A46" s="1" t="s">
        <v>21</v>
      </c>
      <c r="B46" s="1" t="s">
        <v>22</v>
      </c>
      <c r="C46" s="1"/>
      <c r="D46" s="1" t="s">
        <v>116</v>
      </c>
      <c r="E46" s="1" t="s">
        <v>117</v>
      </c>
      <c r="F46" s="1" t="s">
        <v>122</v>
      </c>
      <c r="G46" s="1" t="s">
        <v>62</v>
      </c>
      <c r="H46" s="8">
        <v>5</v>
      </c>
      <c r="I46" s="1" t="s">
        <v>123</v>
      </c>
      <c r="J46" s="1" t="s">
        <v>111</v>
      </c>
      <c r="K46" s="1" t="s">
        <v>81</v>
      </c>
      <c r="L46" s="1" t="s">
        <v>52</v>
      </c>
      <c r="M46" s="1" t="s">
        <v>56</v>
      </c>
    </row>
    <row r="47" spans="1:13">
      <c r="A47" s="1" t="s">
        <v>21</v>
      </c>
      <c r="B47" s="1" t="s">
        <v>22</v>
      </c>
      <c r="C47" s="1"/>
      <c r="D47" s="1" t="s">
        <v>116</v>
      </c>
      <c r="E47" s="1" t="s">
        <v>117</v>
      </c>
      <c r="F47" s="1" t="s">
        <v>124</v>
      </c>
      <c r="G47" s="1" t="s">
        <v>62</v>
      </c>
      <c r="H47" s="8">
        <v>6</v>
      </c>
      <c r="I47" s="1" t="s">
        <v>125</v>
      </c>
      <c r="J47" s="1" t="s">
        <v>113</v>
      </c>
      <c r="K47" s="1" t="s">
        <v>81</v>
      </c>
      <c r="L47" s="1" t="s">
        <v>52</v>
      </c>
      <c r="M47" s="1" t="s">
        <v>56</v>
      </c>
    </row>
    <row r="48" spans="1:13">
      <c r="A48" s="1" t="s">
        <v>21</v>
      </c>
      <c r="B48" s="1" t="s">
        <v>22</v>
      </c>
      <c r="C48" s="1"/>
      <c r="D48" s="1" t="s">
        <v>116</v>
      </c>
      <c r="E48" s="1" t="s">
        <v>117</v>
      </c>
      <c r="F48" s="1" t="s">
        <v>126</v>
      </c>
      <c r="G48" s="1" t="s">
        <v>62</v>
      </c>
      <c r="H48" s="8">
        <v>7</v>
      </c>
      <c r="I48" s="1" t="s">
        <v>127</v>
      </c>
      <c r="J48" s="1" t="s">
        <v>89</v>
      </c>
      <c r="K48" s="1" t="s">
        <v>81</v>
      </c>
      <c r="L48" s="1" t="s">
        <v>3</v>
      </c>
      <c r="M48" s="1" t="s">
        <v>56</v>
      </c>
    </row>
    <row r="49" spans="1:13">
      <c r="A49" s="1" t="s">
        <v>21</v>
      </c>
      <c r="B49" s="1" t="s">
        <v>22</v>
      </c>
      <c r="C49" s="1"/>
      <c r="D49" s="1" t="s">
        <v>116</v>
      </c>
      <c r="E49" s="1" t="s">
        <v>117</v>
      </c>
      <c r="F49" s="1" t="s">
        <v>128</v>
      </c>
      <c r="G49" s="1" t="s">
        <v>62</v>
      </c>
      <c r="H49" s="8">
        <v>8</v>
      </c>
      <c r="I49" s="1" t="s">
        <v>129</v>
      </c>
      <c r="J49" s="1" t="s">
        <v>92</v>
      </c>
      <c r="K49" s="1" t="s">
        <v>81</v>
      </c>
      <c r="L49" s="1" t="s">
        <v>3</v>
      </c>
      <c r="M49" s="1" t="s">
        <v>56</v>
      </c>
    </row>
    <row r="50" spans="1:13">
      <c r="A50" s="1" t="s">
        <v>21</v>
      </c>
      <c r="B50" s="1" t="s">
        <v>130</v>
      </c>
      <c r="C50" s="1" t="s">
        <v>23</v>
      </c>
      <c r="D50" s="1"/>
      <c r="E50" s="1"/>
      <c r="F50" s="1" t="s">
        <v>24</v>
      </c>
      <c r="G50" s="1" t="s">
        <v>25</v>
      </c>
      <c r="H50" s="8">
        <v>1</v>
      </c>
      <c r="I50" s="1" t="s">
        <v>131</v>
      </c>
      <c r="J50" s="1" t="s">
        <v>132</v>
      </c>
      <c r="K50" s="1" t="s">
        <v>133</v>
      </c>
      <c r="L50" s="1" t="s">
        <v>134</v>
      </c>
      <c r="M50" s="1" t="s">
        <v>30</v>
      </c>
    </row>
    <row r="51" spans="1:13">
      <c r="A51" s="1" t="s">
        <v>21</v>
      </c>
      <c r="B51" s="1" t="s">
        <v>130</v>
      </c>
      <c r="C51" s="1" t="s">
        <v>23</v>
      </c>
      <c r="D51" s="1"/>
      <c r="E51" s="1"/>
      <c r="F51" s="1" t="s">
        <v>31</v>
      </c>
      <c r="G51" s="1" t="s">
        <v>25</v>
      </c>
      <c r="H51" s="8">
        <v>2</v>
      </c>
      <c r="I51" s="1" t="s">
        <v>135</v>
      </c>
      <c r="J51" s="1" t="s">
        <v>136</v>
      </c>
      <c r="K51" s="1" t="s">
        <v>133</v>
      </c>
      <c r="L51" s="1" t="s">
        <v>134</v>
      </c>
      <c r="M51" s="1" t="s">
        <v>30</v>
      </c>
    </row>
    <row r="52" spans="1:13">
      <c r="A52" s="1" t="s">
        <v>21</v>
      </c>
      <c r="B52" s="1" t="s">
        <v>130</v>
      </c>
      <c r="C52" s="1" t="s">
        <v>23</v>
      </c>
      <c r="D52" s="1"/>
      <c r="E52" s="1"/>
      <c r="F52" s="1" t="s">
        <v>34</v>
      </c>
      <c r="G52" s="1" t="s">
        <v>25</v>
      </c>
      <c r="H52" s="8">
        <v>3</v>
      </c>
      <c r="I52" s="1" t="s">
        <v>137</v>
      </c>
      <c r="J52" s="1" t="s">
        <v>138</v>
      </c>
      <c r="K52" s="1" t="s">
        <v>133</v>
      </c>
      <c r="L52" s="1" t="s">
        <v>134</v>
      </c>
      <c r="M52" s="1" t="s">
        <v>30</v>
      </c>
    </row>
    <row r="53" spans="1:13">
      <c r="A53" s="1" t="s">
        <v>21</v>
      </c>
      <c r="B53" s="1" t="s">
        <v>130</v>
      </c>
      <c r="C53" s="1" t="s">
        <v>23</v>
      </c>
      <c r="D53" s="1"/>
      <c r="E53" s="1"/>
      <c r="F53" s="1" t="s">
        <v>37</v>
      </c>
      <c r="G53" s="1" t="s">
        <v>78</v>
      </c>
      <c r="H53" s="8">
        <v>4</v>
      </c>
      <c r="I53" s="1" t="s">
        <v>139</v>
      </c>
      <c r="J53" s="1" t="s">
        <v>132</v>
      </c>
      <c r="K53" s="1" t="s">
        <v>133</v>
      </c>
      <c r="L53" s="1" t="s">
        <v>140</v>
      </c>
      <c r="M53" s="1" t="s">
        <v>30</v>
      </c>
    </row>
    <row r="54" spans="1:13">
      <c r="A54" s="1" t="s">
        <v>21</v>
      </c>
      <c r="B54" s="1" t="s">
        <v>130</v>
      </c>
      <c r="C54" s="1" t="s">
        <v>23</v>
      </c>
      <c r="D54" s="1"/>
      <c r="E54" s="1"/>
      <c r="F54" s="1" t="s">
        <v>40</v>
      </c>
      <c r="G54" s="1" t="s">
        <v>78</v>
      </c>
      <c r="H54" s="8">
        <v>5</v>
      </c>
      <c r="I54" s="1" t="s">
        <v>141</v>
      </c>
      <c r="J54" s="1" t="s">
        <v>136</v>
      </c>
      <c r="K54" s="1" t="s">
        <v>133</v>
      </c>
      <c r="L54" s="1" t="s">
        <v>140</v>
      </c>
      <c r="M54" s="1" t="s">
        <v>30</v>
      </c>
    </row>
    <row r="55" spans="1:13">
      <c r="A55" s="1" t="s">
        <v>21</v>
      </c>
      <c r="B55" s="1" t="s">
        <v>130</v>
      </c>
      <c r="C55" s="1" t="s">
        <v>23</v>
      </c>
      <c r="D55" s="1"/>
      <c r="E55" s="1"/>
      <c r="F55" s="1" t="s">
        <v>43</v>
      </c>
      <c r="G55" s="1" t="s">
        <v>78</v>
      </c>
      <c r="H55" s="8">
        <v>6</v>
      </c>
      <c r="I55" s="1" t="s">
        <v>142</v>
      </c>
      <c r="J55" s="1" t="s">
        <v>138</v>
      </c>
      <c r="K55" s="1" t="s">
        <v>133</v>
      </c>
      <c r="L55" s="1" t="s">
        <v>140</v>
      </c>
      <c r="M55" s="1" t="s">
        <v>30</v>
      </c>
    </row>
    <row r="56" spans="1:13">
      <c r="A56" s="1" t="s">
        <v>21</v>
      </c>
      <c r="B56" s="1" t="s">
        <v>130</v>
      </c>
      <c r="C56" s="1" t="s">
        <v>23</v>
      </c>
      <c r="D56" s="1"/>
      <c r="E56" s="1"/>
      <c r="F56" s="1" t="s">
        <v>46</v>
      </c>
      <c r="G56" s="1" t="s">
        <v>25</v>
      </c>
      <c r="H56" s="8">
        <v>7</v>
      </c>
      <c r="I56" s="1" t="s">
        <v>58</v>
      </c>
      <c r="J56" s="1"/>
      <c r="K56" s="1" t="s">
        <v>58</v>
      </c>
      <c r="L56" s="1" t="s">
        <v>58</v>
      </c>
      <c r="M56" s="1" t="s">
        <v>58</v>
      </c>
    </row>
    <row r="57" spans="1:13">
      <c r="A57" s="1" t="s">
        <v>21</v>
      </c>
      <c r="B57" s="1" t="s">
        <v>130</v>
      </c>
      <c r="C57" s="1" t="s">
        <v>23</v>
      </c>
      <c r="D57" s="1"/>
      <c r="E57" s="1"/>
      <c r="F57" s="1" t="s">
        <v>49</v>
      </c>
      <c r="G57" s="1" t="s">
        <v>25</v>
      </c>
      <c r="H57" s="8">
        <v>8</v>
      </c>
      <c r="I57" s="1" t="s">
        <v>58</v>
      </c>
      <c r="J57" s="1"/>
      <c r="K57" s="1" t="s">
        <v>58</v>
      </c>
      <c r="L57" s="1" t="s">
        <v>58</v>
      </c>
      <c r="M57" s="1" t="s">
        <v>58</v>
      </c>
    </row>
    <row r="58" spans="1:13">
      <c r="A58" s="1" t="s">
        <v>21</v>
      </c>
      <c r="B58" s="1" t="s">
        <v>130</v>
      </c>
      <c r="C58" s="1" t="s">
        <v>23</v>
      </c>
      <c r="D58" s="1"/>
      <c r="E58" s="1"/>
      <c r="F58" s="1" t="s">
        <v>53</v>
      </c>
      <c r="G58" s="1" t="s">
        <v>54</v>
      </c>
      <c r="H58" s="8">
        <v>1</v>
      </c>
      <c r="I58" s="1" t="s">
        <v>143</v>
      </c>
      <c r="J58" s="1" t="s">
        <v>132</v>
      </c>
      <c r="K58" s="1" t="s">
        <v>133</v>
      </c>
      <c r="L58" s="1" t="s">
        <v>134</v>
      </c>
      <c r="M58" s="1" t="s">
        <v>56</v>
      </c>
    </row>
    <row r="59" spans="1:13">
      <c r="A59" s="1" t="s">
        <v>21</v>
      </c>
      <c r="B59" s="1" t="s">
        <v>130</v>
      </c>
      <c r="C59" s="1" t="s">
        <v>23</v>
      </c>
      <c r="D59" s="1"/>
      <c r="E59" s="1"/>
      <c r="F59" s="1" t="s">
        <v>57</v>
      </c>
      <c r="G59" s="1" t="s">
        <v>54</v>
      </c>
      <c r="H59" s="8">
        <v>2</v>
      </c>
      <c r="I59" s="1" t="s">
        <v>144</v>
      </c>
      <c r="J59" s="1" t="s">
        <v>136</v>
      </c>
      <c r="K59" s="1" t="s">
        <v>133</v>
      </c>
      <c r="L59" s="1" t="s">
        <v>134</v>
      </c>
      <c r="M59" s="1" t="s">
        <v>56</v>
      </c>
    </row>
    <row r="60" spans="1:13">
      <c r="A60" s="1" t="s">
        <v>21</v>
      </c>
      <c r="B60" s="1" t="s">
        <v>130</v>
      </c>
      <c r="C60" s="1" t="s">
        <v>23</v>
      </c>
      <c r="D60" s="1"/>
      <c r="E60" s="1"/>
      <c r="F60" s="1" t="s">
        <v>59</v>
      </c>
      <c r="G60" s="1" t="s">
        <v>54</v>
      </c>
      <c r="H60" s="8">
        <v>3</v>
      </c>
      <c r="I60" s="1" t="s">
        <v>145</v>
      </c>
      <c r="J60" s="1" t="s">
        <v>138</v>
      </c>
      <c r="K60" s="1" t="s">
        <v>133</v>
      </c>
      <c r="L60" s="1" t="s">
        <v>134</v>
      </c>
      <c r="M60" s="1" t="s">
        <v>56</v>
      </c>
    </row>
    <row r="61" spans="1:13">
      <c r="A61" s="1" t="s">
        <v>21</v>
      </c>
      <c r="B61" s="1" t="s">
        <v>130</v>
      </c>
      <c r="C61" s="1" t="s">
        <v>23</v>
      </c>
      <c r="D61" s="1"/>
      <c r="E61" s="1"/>
      <c r="F61" s="1" t="s">
        <v>60</v>
      </c>
      <c r="G61" s="1" t="s">
        <v>54</v>
      </c>
      <c r="H61" s="8">
        <v>4</v>
      </c>
      <c r="I61" s="1" t="s">
        <v>58</v>
      </c>
      <c r="J61" s="1"/>
      <c r="K61" s="1" t="s">
        <v>58</v>
      </c>
      <c r="L61" s="1" t="s">
        <v>58</v>
      </c>
      <c r="M61" s="1" t="s">
        <v>58</v>
      </c>
    </row>
    <row r="62" spans="1:13">
      <c r="A62" s="1" t="s">
        <v>21</v>
      </c>
      <c r="B62" s="1" t="s">
        <v>130</v>
      </c>
      <c r="C62" s="1" t="s">
        <v>23</v>
      </c>
      <c r="D62" s="1"/>
      <c r="E62" s="1"/>
      <c r="F62" s="1" t="s">
        <v>61</v>
      </c>
      <c r="G62" s="1" t="s">
        <v>62</v>
      </c>
      <c r="H62" s="8">
        <v>1</v>
      </c>
      <c r="I62" s="1" t="s">
        <v>146</v>
      </c>
      <c r="J62" s="1" t="s">
        <v>132</v>
      </c>
      <c r="K62" s="1" t="s">
        <v>133</v>
      </c>
      <c r="L62" s="1" t="s">
        <v>140</v>
      </c>
      <c r="M62" s="1" t="s">
        <v>56</v>
      </c>
    </row>
    <row r="63" spans="1:13">
      <c r="A63" s="1" t="s">
        <v>21</v>
      </c>
      <c r="B63" s="1" t="s">
        <v>130</v>
      </c>
      <c r="C63" s="1" t="s">
        <v>23</v>
      </c>
      <c r="D63" s="1"/>
      <c r="E63" s="1"/>
      <c r="F63" s="1" t="s">
        <v>63</v>
      </c>
      <c r="G63" s="1" t="s">
        <v>62</v>
      </c>
      <c r="H63" s="8">
        <v>2</v>
      </c>
      <c r="I63" s="1" t="s">
        <v>147</v>
      </c>
      <c r="J63" s="1" t="s">
        <v>136</v>
      </c>
      <c r="K63" s="1" t="s">
        <v>133</v>
      </c>
      <c r="L63" s="1" t="s">
        <v>140</v>
      </c>
      <c r="M63" s="1" t="s">
        <v>56</v>
      </c>
    </row>
    <row r="64" spans="1:13">
      <c r="A64" s="1" t="s">
        <v>21</v>
      </c>
      <c r="B64" s="1" t="s">
        <v>130</v>
      </c>
      <c r="C64" s="1" t="s">
        <v>23</v>
      </c>
      <c r="D64" s="1"/>
      <c r="E64" s="1"/>
      <c r="F64" s="1" t="s">
        <v>64</v>
      </c>
      <c r="G64" s="1" t="s">
        <v>62</v>
      </c>
      <c r="H64" s="8">
        <v>3</v>
      </c>
      <c r="I64" s="1" t="s">
        <v>148</v>
      </c>
      <c r="J64" s="1" t="s">
        <v>138</v>
      </c>
      <c r="K64" s="1" t="s">
        <v>133</v>
      </c>
      <c r="L64" s="1" t="s">
        <v>140</v>
      </c>
      <c r="M64" s="1" t="s">
        <v>56</v>
      </c>
    </row>
    <row r="65" spans="1:13">
      <c r="A65" s="1" t="s">
        <v>21</v>
      </c>
      <c r="B65" s="1" t="s">
        <v>130</v>
      </c>
      <c r="C65" s="1" t="s">
        <v>23</v>
      </c>
      <c r="D65" s="1"/>
      <c r="E65" s="1"/>
      <c r="F65" s="1" t="s">
        <v>65</v>
      </c>
      <c r="G65" s="1" t="s">
        <v>62</v>
      </c>
      <c r="H65" s="8">
        <v>4</v>
      </c>
      <c r="I65" s="1" t="s">
        <v>58</v>
      </c>
      <c r="J65" s="1"/>
      <c r="K65" s="1" t="s">
        <v>58</v>
      </c>
      <c r="L65" s="1" t="s">
        <v>58</v>
      </c>
      <c r="M65" s="1" t="s">
        <v>58</v>
      </c>
    </row>
    <row r="66" spans="1:13">
      <c r="A66" s="1" t="s">
        <v>21</v>
      </c>
      <c r="B66" s="1" t="s">
        <v>130</v>
      </c>
      <c r="C66" s="1"/>
      <c r="D66" s="1" t="s">
        <v>66</v>
      </c>
      <c r="E66" s="1" t="s">
        <v>149</v>
      </c>
      <c r="F66" s="1" t="s">
        <v>85</v>
      </c>
      <c r="G66" s="1" t="s">
        <v>78</v>
      </c>
      <c r="H66" s="8">
        <v>9</v>
      </c>
      <c r="I66" s="1" t="s">
        <v>150</v>
      </c>
      <c r="J66" s="1" t="s">
        <v>132</v>
      </c>
      <c r="K66" s="1" t="s">
        <v>133</v>
      </c>
      <c r="L66" s="1" t="s">
        <v>140</v>
      </c>
      <c r="M66" s="1" t="s">
        <v>30</v>
      </c>
    </row>
    <row r="67" spans="1:13">
      <c r="A67" s="1" t="s">
        <v>21</v>
      </c>
      <c r="B67" s="1" t="s">
        <v>130</v>
      </c>
      <c r="C67" s="1"/>
      <c r="D67" s="1" t="s">
        <v>66</v>
      </c>
      <c r="E67" s="1" t="s">
        <v>149</v>
      </c>
      <c r="F67" s="1" t="s">
        <v>87</v>
      </c>
      <c r="G67" s="1" t="s">
        <v>78</v>
      </c>
      <c r="H67" s="8">
        <v>10</v>
      </c>
      <c r="I67" s="1" t="s">
        <v>151</v>
      </c>
      <c r="J67" s="1" t="s">
        <v>136</v>
      </c>
      <c r="K67" s="1" t="s">
        <v>133</v>
      </c>
      <c r="L67" s="1" t="s">
        <v>140</v>
      </c>
      <c r="M67" s="1" t="s">
        <v>30</v>
      </c>
    </row>
    <row r="68" spans="1:13">
      <c r="A68" s="1" t="s">
        <v>21</v>
      </c>
      <c r="B68" s="1" t="s">
        <v>130</v>
      </c>
      <c r="C68" s="1"/>
      <c r="D68" s="1" t="s">
        <v>66</v>
      </c>
      <c r="E68" s="1" t="s">
        <v>149</v>
      </c>
      <c r="F68" s="1" t="s">
        <v>90</v>
      </c>
      <c r="G68" s="1" t="s">
        <v>78</v>
      </c>
      <c r="H68" s="8">
        <v>11</v>
      </c>
      <c r="I68" s="1" t="s">
        <v>152</v>
      </c>
      <c r="J68" s="1" t="s">
        <v>138</v>
      </c>
      <c r="K68" s="1" t="s">
        <v>133</v>
      </c>
      <c r="L68" s="1" t="s">
        <v>140</v>
      </c>
      <c r="M68" s="1" t="s">
        <v>30</v>
      </c>
    </row>
    <row r="69" spans="1:13">
      <c r="A69" s="1" t="s">
        <v>21</v>
      </c>
      <c r="B69" s="1" t="s">
        <v>130</v>
      </c>
      <c r="C69" s="1"/>
      <c r="D69" s="1" t="s">
        <v>66</v>
      </c>
      <c r="E69" s="1" t="s">
        <v>149</v>
      </c>
      <c r="F69" s="1" t="s">
        <v>93</v>
      </c>
      <c r="G69" s="1" t="s">
        <v>78</v>
      </c>
      <c r="H69" s="8">
        <v>12</v>
      </c>
      <c r="I69" s="1" t="s">
        <v>153</v>
      </c>
      <c r="J69" s="1" t="s">
        <v>132</v>
      </c>
      <c r="K69" s="1" t="s">
        <v>133</v>
      </c>
      <c r="L69" s="1" t="s">
        <v>140</v>
      </c>
      <c r="M69" s="1" t="s">
        <v>30</v>
      </c>
    </row>
    <row r="70" spans="1:13">
      <c r="A70" s="1" t="s">
        <v>21</v>
      </c>
      <c r="B70" s="1" t="s">
        <v>130</v>
      </c>
      <c r="C70" s="1"/>
      <c r="D70" s="1" t="s">
        <v>66</v>
      </c>
      <c r="E70" s="1" t="s">
        <v>149</v>
      </c>
      <c r="F70" s="1" t="s">
        <v>95</v>
      </c>
      <c r="G70" s="1" t="s">
        <v>78</v>
      </c>
      <c r="H70" s="8">
        <v>13</v>
      </c>
      <c r="I70" s="1" t="s">
        <v>154</v>
      </c>
      <c r="J70" s="1" t="s">
        <v>136</v>
      </c>
      <c r="K70" s="1" t="s">
        <v>133</v>
      </c>
      <c r="L70" s="1" t="s">
        <v>140</v>
      </c>
      <c r="M70" s="1" t="s">
        <v>30</v>
      </c>
    </row>
    <row r="71" spans="1:13">
      <c r="A71" s="1" t="s">
        <v>21</v>
      </c>
      <c r="B71" s="1" t="s">
        <v>130</v>
      </c>
      <c r="C71" s="1"/>
      <c r="D71" s="1" t="s">
        <v>66</v>
      </c>
      <c r="E71" s="1" t="s">
        <v>149</v>
      </c>
      <c r="F71" s="1" t="s">
        <v>97</v>
      </c>
      <c r="G71" s="1" t="s">
        <v>78</v>
      </c>
      <c r="H71" s="8">
        <v>14</v>
      </c>
      <c r="I71" s="1" t="s">
        <v>155</v>
      </c>
      <c r="J71" s="1" t="s">
        <v>138</v>
      </c>
      <c r="K71" s="1" t="s">
        <v>133</v>
      </c>
      <c r="L71" s="1" t="s">
        <v>140</v>
      </c>
      <c r="M71" s="1" t="s">
        <v>30</v>
      </c>
    </row>
    <row r="72" spans="1:13">
      <c r="A72" s="1" t="s">
        <v>21</v>
      </c>
      <c r="B72" s="1" t="s">
        <v>130</v>
      </c>
      <c r="C72" s="1"/>
      <c r="D72" s="1" t="s">
        <v>66</v>
      </c>
      <c r="E72" s="1" t="s">
        <v>149</v>
      </c>
      <c r="F72" s="1" t="s">
        <v>99</v>
      </c>
      <c r="G72" s="1" t="s">
        <v>78</v>
      </c>
      <c r="H72" s="8">
        <v>15</v>
      </c>
      <c r="I72" s="1" t="s">
        <v>58</v>
      </c>
      <c r="J72" s="1"/>
      <c r="K72" s="1" t="s">
        <v>58</v>
      </c>
      <c r="L72" s="1" t="s">
        <v>58</v>
      </c>
      <c r="M72" s="1" t="s">
        <v>58</v>
      </c>
    </row>
    <row r="73" spans="1:13">
      <c r="A73" s="1" t="s">
        <v>21</v>
      </c>
      <c r="B73" s="1" t="s">
        <v>130</v>
      </c>
      <c r="C73" s="1"/>
      <c r="D73" s="1" t="s">
        <v>66</v>
      </c>
      <c r="E73" s="1" t="s">
        <v>149</v>
      </c>
      <c r="F73" s="1" t="s">
        <v>100</v>
      </c>
      <c r="G73" s="1" t="s">
        <v>78</v>
      </c>
      <c r="H73" s="8">
        <v>16</v>
      </c>
      <c r="I73" s="1" t="s">
        <v>58</v>
      </c>
      <c r="J73" s="1"/>
      <c r="K73" s="1" t="s">
        <v>58</v>
      </c>
      <c r="L73" s="1" t="s">
        <v>58</v>
      </c>
      <c r="M73" s="1" t="s">
        <v>58</v>
      </c>
    </row>
    <row r="74" spans="1:13">
      <c r="A74" s="1" t="s">
        <v>21</v>
      </c>
      <c r="B74" s="1" t="s">
        <v>156</v>
      </c>
      <c r="C74" s="1" t="s">
        <v>23</v>
      </c>
      <c r="D74" s="1"/>
      <c r="E74" s="1"/>
      <c r="F74" s="1" t="s">
        <v>24</v>
      </c>
      <c r="G74" s="1" t="s">
        <v>25</v>
      </c>
      <c r="H74" s="8">
        <v>1</v>
      </c>
      <c r="I74" s="1" t="s">
        <v>157</v>
      </c>
      <c r="J74" s="1" t="s">
        <v>158</v>
      </c>
      <c r="K74" s="1" t="s">
        <v>159</v>
      </c>
      <c r="L74" s="1" t="s">
        <v>134</v>
      </c>
      <c r="M74" s="1" t="s">
        <v>30</v>
      </c>
    </row>
    <row r="75" spans="1:13">
      <c r="A75" s="1" t="s">
        <v>21</v>
      </c>
      <c r="B75" s="1" t="s">
        <v>156</v>
      </c>
      <c r="C75" s="1" t="s">
        <v>23</v>
      </c>
      <c r="D75" s="1"/>
      <c r="E75" s="1"/>
      <c r="F75" s="1" t="s">
        <v>31</v>
      </c>
      <c r="G75" s="1" t="s">
        <v>25</v>
      </c>
      <c r="H75" s="8">
        <v>2</v>
      </c>
      <c r="I75" s="1" t="s">
        <v>160</v>
      </c>
      <c r="J75" s="1" t="s">
        <v>161</v>
      </c>
      <c r="K75" s="1" t="s">
        <v>159</v>
      </c>
      <c r="L75" s="1" t="s">
        <v>134</v>
      </c>
      <c r="M75" s="1" t="s">
        <v>30</v>
      </c>
    </row>
    <row r="76" spans="1:13">
      <c r="A76" s="1" t="s">
        <v>21</v>
      </c>
      <c r="B76" s="1" t="s">
        <v>156</v>
      </c>
      <c r="C76" s="1" t="s">
        <v>23</v>
      </c>
      <c r="D76" s="1"/>
      <c r="E76" s="1"/>
      <c r="F76" s="1" t="s">
        <v>34</v>
      </c>
      <c r="G76" s="1" t="s">
        <v>25</v>
      </c>
      <c r="H76" s="8">
        <v>3</v>
      </c>
      <c r="I76" s="1" t="s">
        <v>162</v>
      </c>
      <c r="J76" s="1" t="s">
        <v>163</v>
      </c>
      <c r="K76" s="1" t="s">
        <v>159</v>
      </c>
      <c r="L76" s="1" t="s">
        <v>134</v>
      </c>
      <c r="M76" s="1" t="s">
        <v>30</v>
      </c>
    </row>
    <row r="77" spans="1:13">
      <c r="A77" s="1" t="s">
        <v>21</v>
      </c>
      <c r="B77" s="1" t="s">
        <v>156</v>
      </c>
      <c r="C77" s="1" t="s">
        <v>23</v>
      </c>
      <c r="D77" s="1"/>
      <c r="E77" s="1"/>
      <c r="F77" s="1" t="s">
        <v>37</v>
      </c>
      <c r="G77" s="1" t="s">
        <v>78</v>
      </c>
      <c r="H77" s="8">
        <v>4</v>
      </c>
      <c r="I77" s="1" t="s">
        <v>164</v>
      </c>
      <c r="J77" s="1" t="s">
        <v>158</v>
      </c>
      <c r="K77" s="1" t="s">
        <v>159</v>
      </c>
      <c r="L77" s="1" t="s">
        <v>140</v>
      </c>
      <c r="M77" s="1" t="s">
        <v>30</v>
      </c>
    </row>
    <row r="78" spans="1:13">
      <c r="A78" s="1" t="s">
        <v>21</v>
      </c>
      <c r="B78" s="1" t="s">
        <v>156</v>
      </c>
      <c r="C78" s="1" t="s">
        <v>23</v>
      </c>
      <c r="D78" s="1"/>
      <c r="E78" s="1"/>
      <c r="F78" s="1" t="s">
        <v>40</v>
      </c>
      <c r="G78" s="1" t="s">
        <v>78</v>
      </c>
      <c r="H78" s="8">
        <v>5</v>
      </c>
      <c r="I78" s="1" t="s">
        <v>165</v>
      </c>
      <c r="J78" s="1" t="s">
        <v>161</v>
      </c>
      <c r="K78" s="1" t="s">
        <v>159</v>
      </c>
      <c r="L78" s="1" t="s">
        <v>140</v>
      </c>
      <c r="M78" s="1" t="s">
        <v>30</v>
      </c>
    </row>
    <row r="79" spans="1:13">
      <c r="A79" s="1" t="s">
        <v>21</v>
      </c>
      <c r="B79" s="1" t="s">
        <v>156</v>
      </c>
      <c r="C79" s="1" t="s">
        <v>23</v>
      </c>
      <c r="D79" s="1"/>
      <c r="E79" s="1"/>
      <c r="F79" s="1" t="s">
        <v>43</v>
      </c>
      <c r="G79" s="1" t="s">
        <v>78</v>
      </c>
      <c r="H79" s="8">
        <v>6</v>
      </c>
      <c r="I79" s="1" t="s">
        <v>166</v>
      </c>
      <c r="J79" s="1" t="s">
        <v>163</v>
      </c>
      <c r="K79" s="1" t="s">
        <v>159</v>
      </c>
      <c r="L79" s="1" t="s">
        <v>140</v>
      </c>
      <c r="M79" s="1" t="s">
        <v>30</v>
      </c>
    </row>
    <row r="80" spans="1:13">
      <c r="A80" s="1" t="s">
        <v>21</v>
      </c>
      <c r="B80" s="1" t="s">
        <v>156</v>
      </c>
      <c r="C80" s="1" t="s">
        <v>23</v>
      </c>
      <c r="D80" s="1"/>
      <c r="E80" s="1"/>
      <c r="F80" s="1" t="s">
        <v>46</v>
      </c>
      <c r="G80" s="1" t="s">
        <v>25</v>
      </c>
      <c r="H80" s="8">
        <v>7</v>
      </c>
      <c r="I80" s="1" t="s">
        <v>58</v>
      </c>
      <c r="J80" s="1"/>
      <c r="K80" s="1" t="s">
        <v>58</v>
      </c>
      <c r="L80" s="1" t="s">
        <v>58</v>
      </c>
      <c r="M80" s="1" t="s">
        <v>58</v>
      </c>
    </row>
    <row r="81" spans="1:13">
      <c r="A81" s="1" t="s">
        <v>21</v>
      </c>
      <c r="B81" s="1" t="s">
        <v>156</v>
      </c>
      <c r="C81" s="1" t="s">
        <v>23</v>
      </c>
      <c r="D81" s="1"/>
      <c r="E81" s="1"/>
      <c r="F81" s="1" t="s">
        <v>49</v>
      </c>
      <c r="G81" s="1" t="s">
        <v>25</v>
      </c>
      <c r="H81" s="8">
        <v>8</v>
      </c>
      <c r="I81" s="1" t="s">
        <v>58</v>
      </c>
      <c r="J81" s="1"/>
      <c r="K81" s="1" t="s">
        <v>58</v>
      </c>
      <c r="L81" s="1" t="s">
        <v>58</v>
      </c>
      <c r="M81" s="1" t="s">
        <v>58</v>
      </c>
    </row>
    <row r="82" spans="1:13">
      <c r="A82" s="1" t="s">
        <v>21</v>
      </c>
      <c r="B82" s="1" t="s">
        <v>156</v>
      </c>
      <c r="C82" s="1" t="s">
        <v>23</v>
      </c>
      <c r="D82" s="1"/>
      <c r="E82" s="1"/>
      <c r="F82" s="1" t="s">
        <v>53</v>
      </c>
      <c r="G82" s="1" t="s">
        <v>54</v>
      </c>
      <c r="H82" s="8">
        <v>1</v>
      </c>
      <c r="I82" s="1" t="s">
        <v>167</v>
      </c>
      <c r="J82" s="1" t="s">
        <v>158</v>
      </c>
      <c r="K82" s="1" t="s">
        <v>159</v>
      </c>
      <c r="L82" s="1" t="s">
        <v>134</v>
      </c>
      <c r="M82" s="1" t="s">
        <v>56</v>
      </c>
    </row>
    <row r="83" spans="1:13">
      <c r="A83" s="1" t="s">
        <v>21</v>
      </c>
      <c r="B83" s="1" t="s">
        <v>156</v>
      </c>
      <c r="C83" s="1" t="s">
        <v>23</v>
      </c>
      <c r="D83" s="1"/>
      <c r="E83" s="1"/>
      <c r="F83" s="1" t="s">
        <v>57</v>
      </c>
      <c r="G83" s="1" t="s">
        <v>54</v>
      </c>
      <c r="H83" s="8">
        <v>2</v>
      </c>
      <c r="I83" s="1" t="s">
        <v>168</v>
      </c>
      <c r="J83" s="1" t="s">
        <v>161</v>
      </c>
      <c r="K83" s="1" t="s">
        <v>159</v>
      </c>
      <c r="L83" s="1" t="s">
        <v>134</v>
      </c>
      <c r="M83" s="1" t="s">
        <v>56</v>
      </c>
    </row>
    <row r="84" spans="1:13">
      <c r="A84" s="1" t="s">
        <v>21</v>
      </c>
      <c r="B84" s="1" t="s">
        <v>156</v>
      </c>
      <c r="C84" s="1" t="s">
        <v>23</v>
      </c>
      <c r="D84" s="1"/>
      <c r="E84" s="1"/>
      <c r="F84" s="1" t="s">
        <v>59</v>
      </c>
      <c r="G84" s="1" t="s">
        <v>54</v>
      </c>
      <c r="H84" s="8">
        <v>3</v>
      </c>
      <c r="I84" s="1" t="s">
        <v>169</v>
      </c>
      <c r="J84" s="1" t="s">
        <v>163</v>
      </c>
      <c r="K84" s="1" t="s">
        <v>159</v>
      </c>
      <c r="L84" s="1" t="s">
        <v>134</v>
      </c>
      <c r="M84" s="1" t="s">
        <v>56</v>
      </c>
    </row>
    <row r="85" spans="1:13">
      <c r="A85" s="1" t="s">
        <v>21</v>
      </c>
      <c r="B85" s="1" t="s">
        <v>156</v>
      </c>
      <c r="C85" s="1" t="s">
        <v>23</v>
      </c>
      <c r="D85" s="1"/>
      <c r="E85" s="1"/>
      <c r="F85" s="1" t="s">
        <v>60</v>
      </c>
      <c r="G85" s="1" t="s">
        <v>54</v>
      </c>
      <c r="H85" s="8">
        <v>4</v>
      </c>
      <c r="I85" s="1" t="s">
        <v>58</v>
      </c>
      <c r="J85" s="1"/>
      <c r="K85" s="1" t="s">
        <v>58</v>
      </c>
      <c r="L85" s="1" t="s">
        <v>58</v>
      </c>
      <c r="M85" s="1" t="s">
        <v>58</v>
      </c>
    </row>
    <row r="86" spans="1:13">
      <c r="A86" s="1" t="s">
        <v>21</v>
      </c>
      <c r="B86" s="1" t="s">
        <v>156</v>
      </c>
      <c r="C86" s="1" t="s">
        <v>23</v>
      </c>
      <c r="D86" s="1"/>
      <c r="E86" s="1"/>
      <c r="F86" s="1" t="s">
        <v>61</v>
      </c>
      <c r="G86" s="1" t="s">
        <v>62</v>
      </c>
      <c r="H86" s="8">
        <v>1</v>
      </c>
      <c r="I86" s="1" t="s">
        <v>170</v>
      </c>
      <c r="J86" s="1" t="s">
        <v>158</v>
      </c>
      <c r="K86" s="1" t="s">
        <v>159</v>
      </c>
      <c r="L86" s="1" t="s">
        <v>140</v>
      </c>
      <c r="M86" s="1" t="s">
        <v>56</v>
      </c>
    </row>
    <row r="87" spans="1:13">
      <c r="A87" s="1" t="s">
        <v>21</v>
      </c>
      <c r="B87" s="1" t="s">
        <v>156</v>
      </c>
      <c r="C87" s="1" t="s">
        <v>23</v>
      </c>
      <c r="D87" s="1"/>
      <c r="E87" s="1"/>
      <c r="F87" s="1" t="s">
        <v>63</v>
      </c>
      <c r="G87" s="1" t="s">
        <v>62</v>
      </c>
      <c r="H87" s="8">
        <v>2</v>
      </c>
      <c r="I87" s="1" t="s">
        <v>171</v>
      </c>
      <c r="J87" s="1" t="s">
        <v>161</v>
      </c>
      <c r="K87" s="1" t="s">
        <v>159</v>
      </c>
      <c r="L87" s="1" t="s">
        <v>140</v>
      </c>
      <c r="M87" s="1" t="s">
        <v>56</v>
      </c>
    </row>
    <row r="88" spans="1:13">
      <c r="A88" s="1" t="s">
        <v>21</v>
      </c>
      <c r="B88" s="1" t="s">
        <v>156</v>
      </c>
      <c r="C88" s="1" t="s">
        <v>23</v>
      </c>
      <c r="D88" s="1"/>
      <c r="E88" s="1"/>
      <c r="F88" s="1" t="s">
        <v>64</v>
      </c>
      <c r="G88" s="1" t="s">
        <v>62</v>
      </c>
      <c r="H88" s="8">
        <v>3</v>
      </c>
      <c r="I88" s="1" t="s">
        <v>172</v>
      </c>
      <c r="J88" s="1" t="s">
        <v>163</v>
      </c>
      <c r="K88" s="1" t="s">
        <v>159</v>
      </c>
      <c r="L88" s="1" t="s">
        <v>140</v>
      </c>
      <c r="M88" s="1" t="s">
        <v>56</v>
      </c>
    </row>
    <row r="89" spans="1:13">
      <c r="A89" s="1" t="s">
        <v>21</v>
      </c>
      <c r="B89" s="1" t="s">
        <v>156</v>
      </c>
      <c r="C89" s="1" t="s">
        <v>23</v>
      </c>
      <c r="D89" s="1"/>
      <c r="E89" s="1"/>
      <c r="F89" s="1" t="s">
        <v>65</v>
      </c>
      <c r="G89" s="1" t="s">
        <v>62</v>
      </c>
      <c r="H89" s="8">
        <v>4</v>
      </c>
      <c r="I89" s="1" t="s">
        <v>58</v>
      </c>
      <c r="J89" s="1"/>
      <c r="K89" s="1" t="s">
        <v>58</v>
      </c>
      <c r="L89" s="1" t="s">
        <v>58</v>
      </c>
      <c r="M89" s="1" t="s">
        <v>58</v>
      </c>
    </row>
    <row r="90" spans="1:13">
      <c r="A90" s="1" t="s">
        <v>21</v>
      </c>
      <c r="B90" s="1" t="s">
        <v>156</v>
      </c>
      <c r="C90" s="1"/>
      <c r="D90" s="1" t="s">
        <v>66</v>
      </c>
      <c r="E90" s="1" t="s">
        <v>149</v>
      </c>
      <c r="F90" s="1" t="s">
        <v>85</v>
      </c>
      <c r="G90" s="1" t="s">
        <v>78</v>
      </c>
      <c r="H90" s="8">
        <v>9</v>
      </c>
      <c r="I90" s="1" t="s">
        <v>173</v>
      </c>
      <c r="J90" s="1" t="s">
        <v>158</v>
      </c>
      <c r="K90" s="1" t="s">
        <v>159</v>
      </c>
      <c r="L90" s="1" t="s">
        <v>140</v>
      </c>
      <c r="M90" s="1" t="s">
        <v>30</v>
      </c>
    </row>
    <row r="91" spans="1:13">
      <c r="A91" s="1" t="s">
        <v>21</v>
      </c>
      <c r="B91" s="1" t="s">
        <v>156</v>
      </c>
      <c r="C91" s="1"/>
      <c r="D91" s="1" t="s">
        <v>66</v>
      </c>
      <c r="E91" s="1" t="s">
        <v>149</v>
      </c>
      <c r="F91" s="1" t="s">
        <v>87</v>
      </c>
      <c r="G91" s="1" t="s">
        <v>78</v>
      </c>
      <c r="H91" s="8">
        <v>10</v>
      </c>
      <c r="I91" s="1" t="s">
        <v>174</v>
      </c>
      <c r="J91" s="1" t="s">
        <v>161</v>
      </c>
      <c r="K91" s="1" t="s">
        <v>159</v>
      </c>
      <c r="L91" s="1" t="s">
        <v>140</v>
      </c>
      <c r="M91" s="1" t="s">
        <v>30</v>
      </c>
    </row>
    <row r="92" spans="1:13">
      <c r="A92" s="1" t="s">
        <v>21</v>
      </c>
      <c r="B92" s="1" t="s">
        <v>156</v>
      </c>
      <c r="C92" s="1"/>
      <c r="D92" s="1" t="s">
        <v>66</v>
      </c>
      <c r="E92" s="1" t="s">
        <v>149</v>
      </c>
      <c r="F92" s="1" t="s">
        <v>90</v>
      </c>
      <c r="G92" s="1" t="s">
        <v>78</v>
      </c>
      <c r="H92" s="8">
        <v>11</v>
      </c>
      <c r="I92" s="1" t="s">
        <v>175</v>
      </c>
      <c r="J92" s="1" t="s">
        <v>163</v>
      </c>
      <c r="K92" s="1" t="s">
        <v>159</v>
      </c>
      <c r="L92" s="1" t="s">
        <v>140</v>
      </c>
      <c r="M92" s="1" t="s">
        <v>30</v>
      </c>
    </row>
    <row r="93" spans="1:13">
      <c r="A93" s="1" t="s">
        <v>21</v>
      </c>
      <c r="B93" s="1" t="s">
        <v>156</v>
      </c>
      <c r="C93" s="1"/>
      <c r="D93" s="1" t="s">
        <v>66</v>
      </c>
      <c r="E93" s="1" t="s">
        <v>149</v>
      </c>
      <c r="F93" s="1" t="s">
        <v>93</v>
      </c>
      <c r="G93" s="1" t="s">
        <v>78</v>
      </c>
      <c r="H93" s="8">
        <v>12</v>
      </c>
      <c r="I93" s="1" t="s">
        <v>176</v>
      </c>
      <c r="J93" s="1" t="s">
        <v>158</v>
      </c>
      <c r="K93" s="1" t="s">
        <v>159</v>
      </c>
      <c r="L93" s="1" t="s">
        <v>140</v>
      </c>
      <c r="M93" s="1" t="s">
        <v>30</v>
      </c>
    </row>
    <row r="94" spans="1:13">
      <c r="A94" s="1" t="s">
        <v>21</v>
      </c>
      <c r="B94" s="1" t="s">
        <v>156</v>
      </c>
      <c r="C94" s="1"/>
      <c r="D94" s="1" t="s">
        <v>66</v>
      </c>
      <c r="E94" s="1" t="s">
        <v>149</v>
      </c>
      <c r="F94" s="1" t="s">
        <v>95</v>
      </c>
      <c r="G94" s="1" t="s">
        <v>78</v>
      </c>
      <c r="H94" s="8">
        <v>13</v>
      </c>
      <c r="I94" s="1" t="s">
        <v>177</v>
      </c>
      <c r="J94" s="1" t="s">
        <v>161</v>
      </c>
      <c r="K94" s="1" t="s">
        <v>159</v>
      </c>
      <c r="L94" s="1" t="s">
        <v>140</v>
      </c>
      <c r="M94" s="1" t="s">
        <v>30</v>
      </c>
    </row>
    <row r="95" spans="1:13">
      <c r="A95" s="1" t="s">
        <v>21</v>
      </c>
      <c r="B95" s="1" t="s">
        <v>156</v>
      </c>
      <c r="C95" s="1"/>
      <c r="D95" s="1" t="s">
        <v>66</v>
      </c>
      <c r="E95" s="1" t="s">
        <v>149</v>
      </c>
      <c r="F95" s="1" t="s">
        <v>97</v>
      </c>
      <c r="G95" s="1" t="s">
        <v>78</v>
      </c>
      <c r="H95" s="8">
        <v>14</v>
      </c>
      <c r="I95" s="1" t="s">
        <v>178</v>
      </c>
      <c r="J95" s="1" t="s">
        <v>163</v>
      </c>
      <c r="K95" s="1" t="s">
        <v>159</v>
      </c>
      <c r="L95" s="1" t="s">
        <v>140</v>
      </c>
      <c r="M95" s="1" t="s">
        <v>30</v>
      </c>
    </row>
    <row r="96" spans="1:13">
      <c r="A96" s="1" t="s">
        <v>21</v>
      </c>
      <c r="B96" s="1" t="s">
        <v>156</v>
      </c>
      <c r="C96" s="1"/>
      <c r="D96" s="1" t="s">
        <v>66</v>
      </c>
      <c r="E96" s="1" t="s">
        <v>149</v>
      </c>
      <c r="F96" s="1" t="s">
        <v>99</v>
      </c>
      <c r="G96" s="1" t="s">
        <v>78</v>
      </c>
      <c r="H96" s="8">
        <v>15</v>
      </c>
      <c r="I96" s="1" t="s">
        <v>58</v>
      </c>
      <c r="J96" s="1"/>
      <c r="K96" s="1" t="s">
        <v>58</v>
      </c>
      <c r="L96" s="1" t="s">
        <v>58</v>
      </c>
      <c r="M96" s="1" t="s">
        <v>58</v>
      </c>
    </row>
    <row r="97" spans="1:13">
      <c r="A97" s="1" t="s">
        <v>21</v>
      </c>
      <c r="B97" s="1" t="s">
        <v>156</v>
      </c>
      <c r="C97" s="1"/>
      <c r="D97" s="1" t="s">
        <v>66</v>
      </c>
      <c r="E97" s="1" t="s">
        <v>149</v>
      </c>
      <c r="F97" s="1" t="s">
        <v>100</v>
      </c>
      <c r="G97" s="1" t="s">
        <v>78</v>
      </c>
      <c r="H97" s="8">
        <v>16</v>
      </c>
      <c r="I97" s="1" t="s">
        <v>58</v>
      </c>
      <c r="J97" s="1"/>
      <c r="K97" s="1" t="s">
        <v>58</v>
      </c>
      <c r="L97" s="1" t="s">
        <v>58</v>
      </c>
      <c r="M97" s="1" t="s">
        <v>58</v>
      </c>
    </row>
    <row r="98" spans="1:13">
      <c r="A98" s="1" t="s">
        <v>21</v>
      </c>
      <c r="B98" s="1" t="s">
        <v>179</v>
      </c>
      <c r="C98" s="1" t="s">
        <v>23</v>
      </c>
      <c r="D98" s="1"/>
      <c r="E98" s="1"/>
      <c r="F98" s="1" t="s">
        <v>24</v>
      </c>
      <c r="G98" s="1" t="s">
        <v>25</v>
      </c>
      <c r="H98" s="8">
        <v>1</v>
      </c>
      <c r="I98" s="1" t="s">
        <v>180</v>
      </c>
      <c r="J98" s="1" t="s">
        <v>181</v>
      </c>
      <c r="K98" s="1" t="s">
        <v>182</v>
      </c>
      <c r="L98" s="1" t="s">
        <v>134</v>
      </c>
      <c r="M98" s="1" t="s">
        <v>30</v>
      </c>
    </row>
    <row r="99" spans="1:13">
      <c r="A99" s="1" t="s">
        <v>21</v>
      </c>
      <c r="B99" s="1" t="s">
        <v>179</v>
      </c>
      <c r="C99" s="1" t="s">
        <v>23</v>
      </c>
      <c r="D99" s="1"/>
      <c r="E99" s="1"/>
      <c r="F99" s="1" t="s">
        <v>31</v>
      </c>
      <c r="G99" s="1" t="s">
        <v>25</v>
      </c>
      <c r="H99" s="8">
        <v>2</v>
      </c>
      <c r="I99" s="1" t="s">
        <v>183</v>
      </c>
      <c r="J99" s="1" t="s">
        <v>184</v>
      </c>
      <c r="K99" s="1" t="s">
        <v>182</v>
      </c>
      <c r="L99" s="1" t="s">
        <v>134</v>
      </c>
      <c r="M99" s="1" t="s">
        <v>30</v>
      </c>
    </row>
    <row r="100" spans="1:13">
      <c r="A100" s="1" t="s">
        <v>21</v>
      </c>
      <c r="B100" s="1" t="s">
        <v>179</v>
      </c>
      <c r="C100" s="1" t="s">
        <v>23</v>
      </c>
      <c r="D100" s="1"/>
      <c r="E100" s="1"/>
      <c r="F100" s="1" t="s">
        <v>34</v>
      </c>
      <c r="G100" s="1" t="s">
        <v>25</v>
      </c>
      <c r="H100" s="8">
        <v>3</v>
      </c>
      <c r="I100" s="1" t="s">
        <v>185</v>
      </c>
      <c r="J100" s="1" t="s">
        <v>186</v>
      </c>
      <c r="K100" s="1" t="s">
        <v>182</v>
      </c>
      <c r="L100" s="1" t="s">
        <v>134</v>
      </c>
      <c r="M100" s="1" t="s">
        <v>30</v>
      </c>
    </row>
    <row r="101" spans="1:13">
      <c r="A101" s="1" t="s">
        <v>21</v>
      </c>
      <c r="B101" s="1" t="s">
        <v>179</v>
      </c>
      <c r="C101" s="1" t="s">
        <v>23</v>
      </c>
      <c r="D101" s="1"/>
      <c r="E101" s="1"/>
      <c r="F101" s="1" t="s">
        <v>37</v>
      </c>
      <c r="G101" s="1" t="s">
        <v>25</v>
      </c>
      <c r="H101" s="8">
        <v>4</v>
      </c>
      <c r="I101" s="1" t="s">
        <v>187</v>
      </c>
      <c r="J101" s="1" t="s">
        <v>188</v>
      </c>
      <c r="K101" s="1" t="s">
        <v>182</v>
      </c>
      <c r="L101" s="1" t="s">
        <v>134</v>
      </c>
      <c r="M101" s="1" t="s">
        <v>30</v>
      </c>
    </row>
    <row r="102" spans="1:13">
      <c r="A102" s="1" t="s">
        <v>21</v>
      </c>
      <c r="B102" s="1" t="s">
        <v>179</v>
      </c>
      <c r="C102" s="1" t="s">
        <v>23</v>
      </c>
      <c r="D102" s="1"/>
      <c r="E102" s="1"/>
      <c r="F102" s="1" t="s">
        <v>40</v>
      </c>
      <c r="G102" s="1" t="s">
        <v>25</v>
      </c>
      <c r="H102" s="8">
        <v>5</v>
      </c>
      <c r="I102" s="1" t="s">
        <v>189</v>
      </c>
      <c r="J102" s="1" t="s">
        <v>190</v>
      </c>
      <c r="K102" s="1" t="s">
        <v>182</v>
      </c>
      <c r="L102" s="1" t="s">
        <v>29</v>
      </c>
      <c r="M102" s="1" t="s">
        <v>30</v>
      </c>
    </row>
    <row r="103" spans="1:13">
      <c r="A103" s="1" t="s">
        <v>21</v>
      </c>
      <c r="B103" s="1" t="s">
        <v>179</v>
      </c>
      <c r="C103" s="1" t="s">
        <v>23</v>
      </c>
      <c r="D103" s="1"/>
      <c r="E103" s="1"/>
      <c r="F103" s="1" t="s">
        <v>43</v>
      </c>
      <c r="G103" s="1" t="s">
        <v>25</v>
      </c>
      <c r="H103" s="8">
        <v>6</v>
      </c>
      <c r="I103" s="1" t="s">
        <v>191</v>
      </c>
      <c r="J103" s="1" t="s">
        <v>192</v>
      </c>
      <c r="K103" s="1" t="s">
        <v>182</v>
      </c>
      <c r="L103" s="1" t="s">
        <v>29</v>
      </c>
      <c r="M103" s="1" t="s">
        <v>30</v>
      </c>
    </row>
    <row r="104" spans="1:13">
      <c r="A104" s="1" t="s">
        <v>21</v>
      </c>
      <c r="B104" s="1" t="s">
        <v>179</v>
      </c>
      <c r="C104" s="1" t="s">
        <v>23</v>
      </c>
      <c r="D104" s="1"/>
      <c r="E104" s="1"/>
      <c r="F104" s="1" t="s">
        <v>46</v>
      </c>
      <c r="G104" s="1" t="s">
        <v>25</v>
      </c>
      <c r="H104" s="8">
        <v>7</v>
      </c>
      <c r="I104" s="1" t="s">
        <v>193</v>
      </c>
      <c r="J104" s="1" t="s">
        <v>194</v>
      </c>
      <c r="K104" s="1" t="s">
        <v>182</v>
      </c>
      <c r="L104" s="1" t="s">
        <v>29</v>
      </c>
      <c r="M104" s="1" t="s">
        <v>30</v>
      </c>
    </row>
    <row r="105" spans="1:13">
      <c r="A105" s="1" t="s">
        <v>21</v>
      </c>
      <c r="B105" s="1" t="s">
        <v>179</v>
      </c>
      <c r="C105" s="1" t="s">
        <v>23</v>
      </c>
      <c r="D105" s="1"/>
      <c r="E105" s="1"/>
      <c r="F105" s="1" t="s">
        <v>49</v>
      </c>
      <c r="G105" s="1" t="s">
        <v>25</v>
      </c>
      <c r="H105" s="8">
        <v>8</v>
      </c>
      <c r="I105" s="1" t="s">
        <v>195</v>
      </c>
      <c r="J105" s="1" t="s">
        <v>196</v>
      </c>
      <c r="K105" s="1" t="s">
        <v>182</v>
      </c>
      <c r="L105" s="1" t="s">
        <v>29</v>
      </c>
      <c r="M105" s="1" t="s">
        <v>30</v>
      </c>
    </row>
    <row r="106" spans="1:13">
      <c r="A106" s="1" t="s">
        <v>21</v>
      </c>
      <c r="B106" s="1" t="s">
        <v>179</v>
      </c>
      <c r="C106" s="1" t="s">
        <v>23</v>
      </c>
      <c r="D106" s="1"/>
      <c r="E106" s="1"/>
      <c r="F106" s="1" t="s">
        <v>53</v>
      </c>
      <c r="G106" s="1" t="s">
        <v>54</v>
      </c>
      <c r="H106" s="8">
        <v>1</v>
      </c>
      <c r="I106" s="1" t="s">
        <v>197</v>
      </c>
      <c r="J106" s="1" t="s">
        <v>181</v>
      </c>
      <c r="K106" s="1" t="s">
        <v>182</v>
      </c>
      <c r="L106" s="1" t="s">
        <v>134</v>
      </c>
      <c r="M106" s="1" t="s">
        <v>56</v>
      </c>
    </row>
    <row r="107" spans="1:13">
      <c r="A107" s="1" t="s">
        <v>21</v>
      </c>
      <c r="B107" s="1" t="s">
        <v>179</v>
      </c>
      <c r="C107" s="1" t="s">
        <v>23</v>
      </c>
      <c r="D107" s="1"/>
      <c r="E107" s="1"/>
      <c r="F107" s="1" t="s">
        <v>57</v>
      </c>
      <c r="G107" s="1" t="s">
        <v>54</v>
      </c>
      <c r="H107" s="8">
        <v>2</v>
      </c>
      <c r="I107" s="1" t="s">
        <v>198</v>
      </c>
      <c r="J107" s="1" t="s">
        <v>184</v>
      </c>
      <c r="K107" s="1" t="s">
        <v>182</v>
      </c>
      <c r="L107" s="1" t="s">
        <v>134</v>
      </c>
      <c r="M107" s="1" t="s">
        <v>56</v>
      </c>
    </row>
    <row r="108" spans="1:13">
      <c r="A108" s="1" t="s">
        <v>21</v>
      </c>
      <c r="B108" s="1" t="s">
        <v>179</v>
      </c>
      <c r="C108" s="1" t="s">
        <v>23</v>
      </c>
      <c r="D108" s="1"/>
      <c r="E108" s="1"/>
      <c r="F108" s="1" t="s">
        <v>59</v>
      </c>
      <c r="G108" s="1" t="s">
        <v>54</v>
      </c>
      <c r="H108" s="8">
        <v>3</v>
      </c>
      <c r="I108" s="1" t="s">
        <v>199</v>
      </c>
      <c r="J108" s="1" t="s">
        <v>186</v>
      </c>
      <c r="K108" s="1" t="s">
        <v>182</v>
      </c>
      <c r="L108" s="1" t="s">
        <v>134</v>
      </c>
      <c r="M108" s="1" t="s">
        <v>56</v>
      </c>
    </row>
    <row r="109" spans="1:13">
      <c r="A109" s="1" t="s">
        <v>21</v>
      </c>
      <c r="B109" s="1" t="s">
        <v>179</v>
      </c>
      <c r="C109" s="1" t="s">
        <v>23</v>
      </c>
      <c r="D109" s="1"/>
      <c r="E109" s="1"/>
      <c r="F109" s="1" t="s">
        <v>60</v>
      </c>
      <c r="G109" s="1" t="s">
        <v>54</v>
      </c>
      <c r="H109" s="8">
        <v>4</v>
      </c>
      <c r="I109" s="1" t="s">
        <v>200</v>
      </c>
      <c r="J109" s="1" t="s">
        <v>188</v>
      </c>
      <c r="K109" s="1" t="s">
        <v>182</v>
      </c>
      <c r="L109" s="1" t="s">
        <v>134</v>
      </c>
      <c r="M109" s="1" t="s">
        <v>56</v>
      </c>
    </row>
    <row r="110" spans="1:13">
      <c r="A110" s="1" t="s">
        <v>21</v>
      </c>
      <c r="B110" s="1" t="s">
        <v>179</v>
      </c>
      <c r="C110" s="1" t="s">
        <v>23</v>
      </c>
      <c r="D110" s="1"/>
      <c r="E110" s="1"/>
      <c r="F110" s="1" t="s">
        <v>61</v>
      </c>
      <c r="G110" s="1" t="s">
        <v>62</v>
      </c>
      <c r="H110" s="8">
        <v>1</v>
      </c>
      <c r="I110" s="1" t="s">
        <v>201</v>
      </c>
      <c r="J110" s="1" t="s">
        <v>181</v>
      </c>
      <c r="K110" s="1" t="s">
        <v>182</v>
      </c>
      <c r="L110" s="1" t="s">
        <v>6</v>
      </c>
      <c r="M110" s="1" t="s">
        <v>56</v>
      </c>
    </row>
    <row r="111" spans="1:13">
      <c r="A111" s="1" t="s">
        <v>21</v>
      </c>
      <c r="B111" s="1" t="s">
        <v>179</v>
      </c>
      <c r="C111" s="1" t="s">
        <v>23</v>
      </c>
      <c r="D111" s="1"/>
      <c r="E111" s="1"/>
      <c r="F111" s="1" t="s">
        <v>63</v>
      </c>
      <c r="G111" s="1" t="s">
        <v>62</v>
      </c>
      <c r="H111" s="8">
        <v>2</v>
      </c>
      <c r="I111" s="1" t="s">
        <v>202</v>
      </c>
      <c r="J111" s="1" t="s">
        <v>184</v>
      </c>
      <c r="K111" s="1" t="s">
        <v>182</v>
      </c>
      <c r="L111" s="1" t="s">
        <v>6</v>
      </c>
      <c r="M111" s="1" t="s">
        <v>56</v>
      </c>
    </row>
    <row r="112" spans="1:13">
      <c r="A112" s="1" t="s">
        <v>21</v>
      </c>
      <c r="B112" s="1" t="s">
        <v>179</v>
      </c>
      <c r="C112" s="1" t="s">
        <v>23</v>
      </c>
      <c r="D112" s="1"/>
      <c r="E112" s="1"/>
      <c r="F112" s="1" t="s">
        <v>64</v>
      </c>
      <c r="G112" s="1" t="s">
        <v>62</v>
      </c>
      <c r="H112" s="8">
        <v>3</v>
      </c>
      <c r="I112" s="1" t="s">
        <v>203</v>
      </c>
      <c r="J112" s="1" t="s">
        <v>186</v>
      </c>
      <c r="K112" s="1" t="s">
        <v>182</v>
      </c>
      <c r="L112" s="1" t="s">
        <v>6</v>
      </c>
      <c r="M112" s="1" t="s">
        <v>56</v>
      </c>
    </row>
    <row r="113" spans="1:13">
      <c r="A113" s="1" t="s">
        <v>21</v>
      </c>
      <c r="B113" s="1" t="s">
        <v>179</v>
      </c>
      <c r="C113" s="1" t="s">
        <v>23</v>
      </c>
      <c r="D113" s="1"/>
      <c r="E113" s="1"/>
      <c r="F113" s="1" t="s">
        <v>65</v>
      </c>
      <c r="G113" s="1" t="s">
        <v>62</v>
      </c>
      <c r="H113" s="8">
        <v>4</v>
      </c>
      <c r="I113" s="1" t="s">
        <v>204</v>
      </c>
      <c r="J113" s="1" t="s">
        <v>188</v>
      </c>
      <c r="K113" s="1" t="s">
        <v>182</v>
      </c>
      <c r="L113" s="1" t="s">
        <v>6</v>
      </c>
      <c r="M113" s="1" t="s">
        <v>56</v>
      </c>
    </row>
    <row r="114" spans="1:13">
      <c r="A114" s="1" t="s">
        <v>21</v>
      </c>
      <c r="B114" s="1" t="s">
        <v>179</v>
      </c>
      <c r="C114" s="1"/>
      <c r="D114" s="1" t="s">
        <v>66</v>
      </c>
      <c r="E114" s="1" t="s">
        <v>149</v>
      </c>
      <c r="F114" s="1" t="s">
        <v>85</v>
      </c>
      <c r="G114" s="1" t="s">
        <v>78</v>
      </c>
      <c r="H114" s="8">
        <v>9</v>
      </c>
      <c r="I114" s="1" t="s">
        <v>205</v>
      </c>
      <c r="J114" s="1" t="s">
        <v>181</v>
      </c>
      <c r="K114" s="1" t="s">
        <v>182</v>
      </c>
      <c r="L114" s="1" t="s">
        <v>6</v>
      </c>
      <c r="M114" s="1" t="s">
        <v>30</v>
      </c>
    </row>
    <row r="115" spans="1:13">
      <c r="A115" s="1" t="s">
        <v>21</v>
      </c>
      <c r="B115" s="1" t="s">
        <v>179</v>
      </c>
      <c r="C115" s="1"/>
      <c r="D115" s="1" t="s">
        <v>66</v>
      </c>
      <c r="E115" s="1" t="s">
        <v>149</v>
      </c>
      <c r="F115" s="1" t="s">
        <v>87</v>
      </c>
      <c r="G115" s="1" t="s">
        <v>78</v>
      </c>
      <c r="H115" s="8">
        <v>10</v>
      </c>
      <c r="I115" s="1" t="s">
        <v>206</v>
      </c>
      <c r="J115" s="1" t="s">
        <v>184</v>
      </c>
      <c r="K115" s="1" t="s">
        <v>182</v>
      </c>
      <c r="L115" s="1" t="s">
        <v>6</v>
      </c>
      <c r="M115" s="1" t="s">
        <v>30</v>
      </c>
    </row>
    <row r="116" spans="1:13">
      <c r="A116" s="1" t="s">
        <v>21</v>
      </c>
      <c r="B116" s="1" t="s">
        <v>179</v>
      </c>
      <c r="C116" s="1"/>
      <c r="D116" s="1" t="s">
        <v>66</v>
      </c>
      <c r="E116" s="1" t="s">
        <v>149</v>
      </c>
      <c r="F116" s="1" t="s">
        <v>90</v>
      </c>
      <c r="G116" s="1" t="s">
        <v>78</v>
      </c>
      <c r="H116" s="8">
        <v>11</v>
      </c>
      <c r="I116" s="1" t="s">
        <v>207</v>
      </c>
      <c r="J116" s="1" t="s">
        <v>186</v>
      </c>
      <c r="K116" s="1" t="s">
        <v>182</v>
      </c>
      <c r="L116" s="1" t="s">
        <v>6</v>
      </c>
      <c r="M116" s="1" t="s">
        <v>30</v>
      </c>
    </row>
    <row r="117" spans="1:13">
      <c r="A117" s="1" t="s">
        <v>21</v>
      </c>
      <c r="B117" s="1" t="s">
        <v>179</v>
      </c>
      <c r="C117" s="1"/>
      <c r="D117" s="1" t="s">
        <v>66</v>
      </c>
      <c r="E117" s="1" t="s">
        <v>149</v>
      </c>
      <c r="F117" s="1" t="s">
        <v>93</v>
      </c>
      <c r="G117" s="1" t="s">
        <v>78</v>
      </c>
      <c r="H117" s="8">
        <v>12</v>
      </c>
      <c r="I117" s="1" t="s">
        <v>208</v>
      </c>
      <c r="J117" s="1" t="s">
        <v>188</v>
      </c>
      <c r="K117" s="1" t="s">
        <v>182</v>
      </c>
      <c r="L117" s="1" t="s">
        <v>6</v>
      </c>
      <c r="M117" s="1" t="s">
        <v>30</v>
      </c>
    </row>
    <row r="118" spans="1:13">
      <c r="A118" s="1" t="s">
        <v>21</v>
      </c>
      <c r="B118" s="1" t="s">
        <v>179</v>
      </c>
      <c r="C118" s="1"/>
      <c r="D118" s="1" t="s">
        <v>66</v>
      </c>
      <c r="E118" s="1" t="s">
        <v>149</v>
      </c>
      <c r="F118" s="1" t="s">
        <v>95</v>
      </c>
      <c r="G118" s="1" t="s">
        <v>78</v>
      </c>
      <c r="H118" s="8">
        <v>13</v>
      </c>
      <c r="I118" s="1" t="s">
        <v>209</v>
      </c>
      <c r="J118" s="1" t="s">
        <v>210</v>
      </c>
      <c r="K118" s="1" t="s">
        <v>182</v>
      </c>
      <c r="L118" s="1" t="s">
        <v>29</v>
      </c>
      <c r="M118" s="1" t="s">
        <v>30</v>
      </c>
    </row>
    <row r="119" spans="1:13">
      <c r="A119" s="1" t="s">
        <v>21</v>
      </c>
      <c r="B119" s="1" t="s">
        <v>179</v>
      </c>
      <c r="C119" s="1"/>
      <c r="D119" s="1" t="s">
        <v>66</v>
      </c>
      <c r="E119" s="1" t="s">
        <v>149</v>
      </c>
      <c r="F119" s="1" t="s">
        <v>97</v>
      </c>
      <c r="G119" s="1" t="s">
        <v>78</v>
      </c>
      <c r="H119" s="8">
        <v>14</v>
      </c>
      <c r="I119" s="1" t="s">
        <v>211</v>
      </c>
      <c r="J119" s="1" t="s">
        <v>212</v>
      </c>
      <c r="K119" s="1" t="s">
        <v>182</v>
      </c>
      <c r="L119" s="1" t="s">
        <v>29</v>
      </c>
      <c r="M119" s="1" t="s">
        <v>30</v>
      </c>
    </row>
    <row r="120" spans="1:13">
      <c r="A120" s="1" t="s">
        <v>21</v>
      </c>
      <c r="B120" s="1" t="s">
        <v>179</v>
      </c>
      <c r="C120" s="1"/>
      <c r="D120" s="1" t="s">
        <v>66</v>
      </c>
      <c r="E120" s="1" t="s">
        <v>149</v>
      </c>
      <c r="F120" s="1" t="s">
        <v>99</v>
      </c>
      <c r="G120" s="1" t="s">
        <v>78</v>
      </c>
      <c r="H120" s="8">
        <v>15</v>
      </c>
      <c r="I120" s="1" t="s">
        <v>213</v>
      </c>
      <c r="J120" s="1" t="s">
        <v>214</v>
      </c>
      <c r="K120" s="1" t="s">
        <v>182</v>
      </c>
      <c r="L120" s="1" t="s">
        <v>29</v>
      </c>
      <c r="M120" s="1" t="s">
        <v>30</v>
      </c>
    </row>
    <row r="121" spans="1:13">
      <c r="A121" s="1" t="s">
        <v>21</v>
      </c>
      <c r="B121" s="1" t="s">
        <v>179</v>
      </c>
      <c r="C121" s="1"/>
      <c r="D121" s="1" t="s">
        <v>66</v>
      </c>
      <c r="E121" s="1" t="s">
        <v>149</v>
      </c>
      <c r="F121" s="1" t="s">
        <v>100</v>
      </c>
      <c r="G121" s="1" t="s">
        <v>78</v>
      </c>
      <c r="H121" s="8">
        <v>16</v>
      </c>
      <c r="I121" s="1" t="s">
        <v>215</v>
      </c>
      <c r="J121" s="1" t="s">
        <v>216</v>
      </c>
      <c r="K121" s="1" t="s">
        <v>182</v>
      </c>
      <c r="L121" s="1" t="s">
        <v>29</v>
      </c>
      <c r="M121" s="1" t="s">
        <v>30</v>
      </c>
    </row>
    <row r="122" spans="1:13">
      <c r="A122" s="1" t="s">
        <v>21</v>
      </c>
      <c r="B122" s="1" t="s">
        <v>179</v>
      </c>
      <c r="C122" s="1"/>
      <c r="D122" s="1" t="s">
        <v>83</v>
      </c>
      <c r="E122" s="1" t="s">
        <v>84</v>
      </c>
      <c r="F122" s="1" t="s">
        <v>85</v>
      </c>
      <c r="G122" s="1" t="s">
        <v>78</v>
      </c>
      <c r="H122" s="8">
        <v>1</v>
      </c>
      <c r="I122" s="1" t="s">
        <v>217</v>
      </c>
      <c r="J122" s="1" t="s">
        <v>181</v>
      </c>
      <c r="K122" s="1" t="s">
        <v>182</v>
      </c>
      <c r="L122" s="1" t="s">
        <v>6</v>
      </c>
      <c r="M122" s="1" t="s">
        <v>30</v>
      </c>
    </row>
    <row r="123" spans="1:13">
      <c r="A123" s="1" t="s">
        <v>21</v>
      </c>
      <c r="B123" s="1" t="s">
        <v>179</v>
      </c>
      <c r="C123" s="1"/>
      <c r="D123" s="1" t="s">
        <v>83</v>
      </c>
      <c r="E123" s="1" t="s">
        <v>84</v>
      </c>
      <c r="F123" s="1" t="s">
        <v>87</v>
      </c>
      <c r="G123" s="1" t="s">
        <v>78</v>
      </c>
      <c r="H123" s="8">
        <v>2</v>
      </c>
      <c r="I123" s="1" t="s">
        <v>218</v>
      </c>
      <c r="J123" s="1" t="s">
        <v>184</v>
      </c>
      <c r="K123" s="1" t="s">
        <v>182</v>
      </c>
      <c r="L123" s="1" t="s">
        <v>6</v>
      </c>
      <c r="M123" s="1" t="s">
        <v>30</v>
      </c>
    </row>
    <row r="124" spans="1:13">
      <c r="A124" s="1" t="s">
        <v>21</v>
      </c>
      <c r="B124" s="1" t="s">
        <v>179</v>
      </c>
      <c r="C124" s="1"/>
      <c r="D124" s="1" t="s">
        <v>83</v>
      </c>
      <c r="E124" s="1" t="s">
        <v>84</v>
      </c>
      <c r="F124" s="1" t="s">
        <v>90</v>
      </c>
      <c r="G124" s="1" t="s">
        <v>78</v>
      </c>
      <c r="H124" s="8">
        <v>3</v>
      </c>
      <c r="I124" s="1" t="s">
        <v>219</v>
      </c>
      <c r="J124" s="1" t="s">
        <v>186</v>
      </c>
      <c r="K124" s="1" t="s">
        <v>182</v>
      </c>
      <c r="L124" s="1" t="s">
        <v>6</v>
      </c>
      <c r="M124" s="1" t="s">
        <v>30</v>
      </c>
    </row>
    <row r="125" spans="1:13">
      <c r="A125" s="1" t="s">
        <v>21</v>
      </c>
      <c r="B125" s="1" t="s">
        <v>179</v>
      </c>
      <c r="C125" s="1"/>
      <c r="D125" s="1" t="s">
        <v>83</v>
      </c>
      <c r="E125" s="1" t="s">
        <v>84</v>
      </c>
      <c r="F125" s="1" t="s">
        <v>93</v>
      </c>
      <c r="G125" s="1" t="s">
        <v>78</v>
      </c>
      <c r="H125" s="8">
        <v>4</v>
      </c>
      <c r="I125" s="1" t="s">
        <v>220</v>
      </c>
      <c r="J125" s="1" t="s">
        <v>188</v>
      </c>
      <c r="K125" s="1" t="s">
        <v>182</v>
      </c>
      <c r="L125" s="1" t="s">
        <v>6</v>
      </c>
      <c r="M125" s="1" t="s">
        <v>30</v>
      </c>
    </row>
    <row r="126" spans="1:13">
      <c r="A126" s="1" t="s">
        <v>21</v>
      </c>
      <c r="B126" s="1" t="s">
        <v>179</v>
      </c>
      <c r="C126" s="1"/>
      <c r="D126" s="1" t="s">
        <v>83</v>
      </c>
      <c r="E126" s="1" t="s">
        <v>84</v>
      </c>
      <c r="F126" s="1" t="s">
        <v>95</v>
      </c>
      <c r="G126" s="1" t="s">
        <v>78</v>
      </c>
      <c r="H126" s="8">
        <v>5</v>
      </c>
      <c r="I126" s="1" t="s">
        <v>221</v>
      </c>
      <c r="J126" s="1" t="s">
        <v>181</v>
      </c>
      <c r="K126" s="1" t="s">
        <v>182</v>
      </c>
      <c r="L126" s="1" t="s">
        <v>6</v>
      </c>
      <c r="M126" s="1" t="s">
        <v>30</v>
      </c>
    </row>
    <row r="127" spans="1:13">
      <c r="A127" s="1" t="s">
        <v>21</v>
      </c>
      <c r="B127" s="1" t="s">
        <v>179</v>
      </c>
      <c r="C127" s="1"/>
      <c r="D127" s="1" t="s">
        <v>83</v>
      </c>
      <c r="E127" s="1" t="s">
        <v>84</v>
      </c>
      <c r="F127" s="1" t="s">
        <v>97</v>
      </c>
      <c r="G127" s="1" t="s">
        <v>78</v>
      </c>
      <c r="H127" s="8">
        <v>6</v>
      </c>
      <c r="I127" s="1" t="s">
        <v>222</v>
      </c>
      <c r="J127" s="1" t="s">
        <v>184</v>
      </c>
      <c r="K127" s="1" t="s">
        <v>182</v>
      </c>
      <c r="L127" s="1" t="s">
        <v>6</v>
      </c>
      <c r="M127" s="1" t="s">
        <v>30</v>
      </c>
    </row>
    <row r="128" spans="1:13">
      <c r="A128" s="1" t="s">
        <v>21</v>
      </c>
      <c r="B128" s="1" t="s">
        <v>179</v>
      </c>
      <c r="C128" s="1"/>
      <c r="D128" s="1" t="s">
        <v>83</v>
      </c>
      <c r="E128" s="1" t="s">
        <v>84</v>
      </c>
      <c r="F128" s="1" t="s">
        <v>99</v>
      </c>
      <c r="G128" s="1" t="s">
        <v>78</v>
      </c>
      <c r="H128" s="8">
        <v>7</v>
      </c>
      <c r="I128" s="1" t="s">
        <v>223</v>
      </c>
      <c r="J128" s="1" t="s">
        <v>186</v>
      </c>
      <c r="K128" s="1" t="s">
        <v>182</v>
      </c>
      <c r="L128" s="1" t="s">
        <v>6</v>
      </c>
      <c r="M128" s="1" t="s">
        <v>30</v>
      </c>
    </row>
    <row r="129" spans="1:13">
      <c r="A129" s="1" t="s">
        <v>21</v>
      </c>
      <c r="B129" s="1" t="s">
        <v>179</v>
      </c>
      <c r="C129" s="1"/>
      <c r="D129" s="1" t="s">
        <v>83</v>
      </c>
      <c r="E129" s="1" t="s">
        <v>84</v>
      </c>
      <c r="F129" s="1" t="s">
        <v>100</v>
      </c>
      <c r="G129" s="1" t="s">
        <v>78</v>
      </c>
      <c r="H129" s="8">
        <v>8</v>
      </c>
      <c r="I129" s="1" t="s">
        <v>224</v>
      </c>
      <c r="J129" s="1" t="s">
        <v>188</v>
      </c>
      <c r="K129" s="1" t="s">
        <v>182</v>
      </c>
      <c r="L129" s="1" t="s">
        <v>6</v>
      </c>
      <c r="M129" s="1" t="s">
        <v>30</v>
      </c>
    </row>
    <row r="130" spans="1:13">
      <c r="A130" s="1" t="s">
        <v>21</v>
      </c>
      <c r="B130" s="1" t="s">
        <v>179</v>
      </c>
      <c r="C130" s="1"/>
      <c r="D130" s="1" t="s">
        <v>101</v>
      </c>
      <c r="E130" s="1" t="s">
        <v>84</v>
      </c>
      <c r="F130" s="1" t="s">
        <v>85</v>
      </c>
      <c r="G130" s="1" t="s">
        <v>78</v>
      </c>
      <c r="H130" s="8">
        <v>1</v>
      </c>
      <c r="I130" s="1" t="s">
        <v>225</v>
      </c>
      <c r="J130" s="1" t="s">
        <v>226</v>
      </c>
      <c r="K130" s="1" t="s">
        <v>182</v>
      </c>
      <c r="L130" s="1" t="s">
        <v>52</v>
      </c>
      <c r="M130" s="1" t="s">
        <v>30</v>
      </c>
    </row>
    <row r="131" spans="1:13">
      <c r="A131" s="1" t="s">
        <v>21</v>
      </c>
      <c r="B131" s="1" t="s">
        <v>179</v>
      </c>
      <c r="C131" s="1"/>
      <c r="D131" s="1" t="s">
        <v>101</v>
      </c>
      <c r="E131" s="1" t="s">
        <v>84</v>
      </c>
      <c r="F131" s="1" t="s">
        <v>87</v>
      </c>
      <c r="G131" s="1" t="s">
        <v>78</v>
      </c>
      <c r="H131" s="8">
        <v>2</v>
      </c>
      <c r="I131" s="1" t="s">
        <v>227</v>
      </c>
      <c r="J131" s="1" t="s">
        <v>228</v>
      </c>
      <c r="K131" s="1" t="s">
        <v>182</v>
      </c>
      <c r="L131" s="1" t="s">
        <v>52</v>
      </c>
      <c r="M131" s="1" t="s">
        <v>30</v>
      </c>
    </row>
    <row r="132" spans="1:13">
      <c r="A132" s="1" t="s">
        <v>21</v>
      </c>
      <c r="B132" s="1" t="s">
        <v>179</v>
      </c>
      <c r="C132" s="1"/>
      <c r="D132" s="1" t="s">
        <v>101</v>
      </c>
      <c r="E132" s="1" t="s">
        <v>84</v>
      </c>
      <c r="F132" s="1" t="s">
        <v>90</v>
      </c>
      <c r="G132" s="1" t="s">
        <v>78</v>
      </c>
      <c r="H132" s="8">
        <v>3</v>
      </c>
      <c r="I132" s="1" t="s">
        <v>229</v>
      </c>
      <c r="J132" s="1" t="s">
        <v>230</v>
      </c>
      <c r="K132" s="1" t="s">
        <v>182</v>
      </c>
      <c r="L132" s="1" t="s">
        <v>52</v>
      </c>
      <c r="M132" s="1" t="s">
        <v>30</v>
      </c>
    </row>
    <row r="133" spans="1:13">
      <c r="A133" s="1" t="s">
        <v>21</v>
      </c>
      <c r="B133" s="1" t="s">
        <v>179</v>
      </c>
      <c r="C133" s="1"/>
      <c r="D133" s="1" t="s">
        <v>101</v>
      </c>
      <c r="E133" s="1" t="s">
        <v>84</v>
      </c>
      <c r="F133" s="1" t="s">
        <v>93</v>
      </c>
      <c r="G133" s="1" t="s">
        <v>78</v>
      </c>
      <c r="H133" s="8">
        <v>4</v>
      </c>
      <c r="I133" s="1" t="s">
        <v>231</v>
      </c>
      <c r="J133" s="1" t="s">
        <v>232</v>
      </c>
      <c r="K133" s="1" t="s">
        <v>182</v>
      </c>
      <c r="L133" s="1" t="s">
        <v>52</v>
      </c>
      <c r="M133" s="1" t="s">
        <v>30</v>
      </c>
    </row>
    <row r="134" spans="1:13">
      <c r="A134" s="1" t="s">
        <v>21</v>
      </c>
      <c r="B134" s="1" t="s">
        <v>179</v>
      </c>
      <c r="C134" s="1"/>
      <c r="D134" s="1" t="s">
        <v>101</v>
      </c>
      <c r="E134" s="1" t="s">
        <v>84</v>
      </c>
      <c r="F134" s="1" t="s">
        <v>95</v>
      </c>
      <c r="G134" s="1" t="s">
        <v>78</v>
      </c>
      <c r="H134" s="8">
        <v>5</v>
      </c>
      <c r="I134" s="1" t="s">
        <v>233</v>
      </c>
      <c r="J134" s="1" t="s">
        <v>234</v>
      </c>
      <c r="K134" s="1" t="s">
        <v>182</v>
      </c>
      <c r="L134" s="1" t="s">
        <v>52</v>
      </c>
      <c r="M134" s="1" t="s">
        <v>30</v>
      </c>
    </row>
    <row r="135" spans="1:13">
      <c r="A135" s="1" t="s">
        <v>21</v>
      </c>
      <c r="B135" s="1" t="s">
        <v>179</v>
      </c>
      <c r="C135" s="1"/>
      <c r="D135" s="1" t="s">
        <v>101</v>
      </c>
      <c r="E135" s="1" t="s">
        <v>84</v>
      </c>
      <c r="F135" s="1" t="s">
        <v>97</v>
      </c>
      <c r="G135" s="1" t="s">
        <v>78</v>
      </c>
      <c r="H135" s="8">
        <v>6</v>
      </c>
      <c r="I135" s="1" t="s">
        <v>235</v>
      </c>
      <c r="J135" s="1" t="s">
        <v>236</v>
      </c>
      <c r="K135" s="1" t="s">
        <v>182</v>
      </c>
      <c r="L135" s="1" t="s">
        <v>52</v>
      </c>
      <c r="M135" s="1" t="s">
        <v>30</v>
      </c>
    </row>
    <row r="136" spans="1:13">
      <c r="A136" s="1" t="s">
        <v>21</v>
      </c>
      <c r="B136" s="1" t="s">
        <v>179</v>
      </c>
      <c r="C136" s="1"/>
      <c r="D136" s="1" t="s">
        <v>101</v>
      </c>
      <c r="E136" s="1" t="s">
        <v>84</v>
      </c>
      <c r="F136" s="1" t="s">
        <v>99</v>
      </c>
      <c r="G136" s="1" t="s">
        <v>78</v>
      </c>
      <c r="H136" s="8">
        <v>7</v>
      </c>
      <c r="I136" s="1" t="s">
        <v>237</v>
      </c>
      <c r="J136" s="1" t="s">
        <v>238</v>
      </c>
      <c r="K136" s="1" t="s">
        <v>182</v>
      </c>
      <c r="L136" s="1" t="s">
        <v>52</v>
      </c>
      <c r="M136" s="1" t="s">
        <v>30</v>
      </c>
    </row>
    <row r="137" spans="1:13">
      <c r="A137" s="1" t="s">
        <v>21</v>
      </c>
      <c r="B137" s="1" t="s">
        <v>179</v>
      </c>
      <c r="C137" s="1"/>
      <c r="D137" s="1" t="s">
        <v>101</v>
      </c>
      <c r="E137" s="1" t="s">
        <v>84</v>
      </c>
      <c r="F137" s="1" t="s">
        <v>100</v>
      </c>
      <c r="G137" s="1" t="s">
        <v>78</v>
      </c>
      <c r="H137" s="8">
        <v>8</v>
      </c>
      <c r="I137" s="1" t="s">
        <v>239</v>
      </c>
      <c r="J137" s="1" t="s">
        <v>240</v>
      </c>
      <c r="K137" s="1" t="s">
        <v>182</v>
      </c>
      <c r="L137" s="1" t="s">
        <v>52</v>
      </c>
      <c r="M137" s="1" t="s">
        <v>30</v>
      </c>
    </row>
    <row r="138" spans="1:13">
      <c r="A138" s="1" t="s">
        <v>21</v>
      </c>
      <c r="B138" s="1" t="s">
        <v>179</v>
      </c>
      <c r="C138" s="1"/>
      <c r="D138" s="1" t="s">
        <v>116</v>
      </c>
      <c r="E138" s="1" t="s">
        <v>117</v>
      </c>
      <c r="F138" s="1" t="s">
        <v>61</v>
      </c>
      <c r="G138" s="1" t="s">
        <v>62</v>
      </c>
      <c r="H138" s="8">
        <v>1</v>
      </c>
      <c r="I138" s="1" t="s">
        <v>241</v>
      </c>
      <c r="J138" s="1" t="s">
        <v>226</v>
      </c>
      <c r="K138" s="1" t="s">
        <v>182</v>
      </c>
      <c r="L138" s="1" t="s">
        <v>52</v>
      </c>
      <c r="M138" s="1" t="s">
        <v>56</v>
      </c>
    </row>
    <row r="139" spans="1:13">
      <c r="A139" s="1" t="s">
        <v>21</v>
      </c>
      <c r="B139" s="1" t="s">
        <v>179</v>
      </c>
      <c r="C139" s="1"/>
      <c r="D139" s="1" t="s">
        <v>116</v>
      </c>
      <c r="E139" s="1" t="s">
        <v>117</v>
      </c>
      <c r="F139" s="1" t="s">
        <v>63</v>
      </c>
      <c r="G139" s="1" t="s">
        <v>62</v>
      </c>
      <c r="H139" s="8">
        <v>2</v>
      </c>
      <c r="I139" s="1" t="s">
        <v>242</v>
      </c>
      <c r="J139" s="1" t="s">
        <v>228</v>
      </c>
      <c r="K139" s="1" t="s">
        <v>182</v>
      </c>
      <c r="L139" s="1" t="s">
        <v>52</v>
      </c>
      <c r="M139" s="1" t="s">
        <v>56</v>
      </c>
    </row>
    <row r="140" spans="1:13">
      <c r="A140" s="1" t="s">
        <v>21</v>
      </c>
      <c r="B140" s="1" t="s">
        <v>179</v>
      </c>
      <c r="C140" s="1"/>
      <c r="D140" s="1" t="s">
        <v>116</v>
      </c>
      <c r="E140" s="1" t="s">
        <v>117</v>
      </c>
      <c r="F140" s="1" t="s">
        <v>64</v>
      </c>
      <c r="G140" s="1" t="s">
        <v>62</v>
      </c>
      <c r="H140" s="8">
        <v>3</v>
      </c>
      <c r="I140" s="1" t="s">
        <v>243</v>
      </c>
      <c r="J140" s="1" t="s">
        <v>230</v>
      </c>
      <c r="K140" s="1" t="s">
        <v>182</v>
      </c>
      <c r="L140" s="1" t="s">
        <v>52</v>
      </c>
      <c r="M140" s="1" t="s">
        <v>56</v>
      </c>
    </row>
    <row r="141" spans="1:13">
      <c r="A141" s="1" t="s">
        <v>21</v>
      </c>
      <c r="B141" s="1" t="s">
        <v>179</v>
      </c>
      <c r="C141" s="1"/>
      <c r="D141" s="1" t="s">
        <v>116</v>
      </c>
      <c r="E141" s="1" t="s">
        <v>117</v>
      </c>
      <c r="F141" s="1" t="s">
        <v>65</v>
      </c>
      <c r="G141" s="1" t="s">
        <v>62</v>
      </c>
      <c r="H141" s="8">
        <v>4</v>
      </c>
      <c r="I141" s="1" t="s">
        <v>244</v>
      </c>
      <c r="J141" s="1" t="s">
        <v>232</v>
      </c>
      <c r="K141" s="1" t="s">
        <v>182</v>
      </c>
      <c r="L141" s="1" t="s">
        <v>52</v>
      </c>
      <c r="M141" s="1" t="s">
        <v>56</v>
      </c>
    </row>
    <row r="142" spans="1:13">
      <c r="A142" s="1" t="s">
        <v>21</v>
      </c>
      <c r="B142" s="1" t="s">
        <v>179</v>
      </c>
      <c r="C142" s="1"/>
      <c r="D142" s="1" t="s">
        <v>116</v>
      </c>
      <c r="E142" s="1" t="s">
        <v>117</v>
      </c>
      <c r="F142" s="1" t="s">
        <v>122</v>
      </c>
      <c r="G142" s="1" t="s">
        <v>62</v>
      </c>
      <c r="H142" s="8">
        <v>5</v>
      </c>
      <c r="I142" s="1" t="s">
        <v>245</v>
      </c>
      <c r="J142" s="1" t="s">
        <v>234</v>
      </c>
      <c r="K142" s="1" t="s">
        <v>182</v>
      </c>
      <c r="L142" s="1" t="s">
        <v>52</v>
      </c>
      <c r="M142" s="1" t="s">
        <v>56</v>
      </c>
    </row>
    <row r="143" spans="1:13">
      <c r="A143" s="1" t="s">
        <v>21</v>
      </c>
      <c r="B143" s="1" t="s">
        <v>179</v>
      </c>
      <c r="C143" s="1"/>
      <c r="D143" s="1" t="s">
        <v>116</v>
      </c>
      <c r="E143" s="1" t="s">
        <v>117</v>
      </c>
      <c r="F143" s="1" t="s">
        <v>124</v>
      </c>
      <c r="G143" s="1" t="s">
        <v>62</v>
      </c>
      <c r="H143" s="8">
        <v>6</v>
      </c>
      <c r="I143" s="1" t="s">
        <v>246</v>
      </c>
      <c r="J143" s="1" t="s">
        <v>236</v>
      </c>
      <c r="K143" s="1" t="s">
        <v>182</v>
      </c>
      <c r="L143" s="1" t="s">
        <v>52</v>
      </c>
      <c r="M143" s="1" t="s">
        <v>56</v>
      </c>
    </row>
    <row r="144" spans="1:13">
      <c r="A144" s="1" t="s">
        <v>21</v>
      </c>
      <c r="B144" s="1" t="s">
        <v>179</v>
      </c>
      <c r="C144" s="1"/>
      <c r="D144" s="1" t="s">
        <v>116</v>
      </c>
      <c r="E144" s="1" t="s">
        <v>117</v>
      </c>
      <c r="F144" s="1" t="s">
        <v>126</v>
      </c>
      <c r="G144" s="1" t="s">
        <v>62</v>
      </c>
      <c r="H144" s="8">
        <v>7</v>
      </c>
      <c r="I144" s="1" t="s">
        <v>247</v>
      </c>
      <c r="J144" s="1" t="s">
        <v>238</v>
      </c>
      <c r="K144" s="1" t="s">
        <v>182</v>
      </c>
      <c r="L144" s="1" t="s">
        <v>52</v>
      </c>
      <c r="M144" s="1" t="s">
        <v>56</v>
      </c>
    </row>
    <row r="145" spans="1:13">
      <c r="A145" s="1" t="s">
        <v>21</v>
      </c>
      <c r="B145" s="1" t="s">
        <v>179</v>
      </c>
      <c r="C145" s="1"/>
      <c r="D145" s="1" t="s">
        <v>116</v>
      </c>
      <c r="E145" s="1" t="s">
        <v>117</v>
      </c>
      <c r="F145" s="1" t="s">
        <v>128</v>
      </c>
      <c r="G145" s="1" t="s">
        <v>62</v>
      </c>
      <c r="H145" s="8">
        <v>8</v>
      </c>
      <c r="I145" s="1" t="s">
        <v>248</v>
      </c>
      <c r="J145" s="1" t="s">
        <v>240</v>
      </c>
      <c r="K145" s="1" t="s">
        <v>182</v>
      </c>
      <c r="L145" s="1" t="s">
        <v>52</v>
      </c>
      <c r="M145" s="1" t="s">
        <v>56</v>
      </c>
    </row>
    <row r="146" spans="1:13">
      <c r="A146" s="1" t="s">
        <v>21</v>
      </c>
      <c r="B146" s="1" t="s">
        <v>249</v>
      </c>
      <c r="C146" s="1" t="s">
        <v>23</v>
      </c>
      <c r="D146" s="1"/>
      <c r="E146" s="1"/>
      <c r="F146" s="1" t="s">
        <v>24</v>
      </c>
      <c r="G146" s="1" t="s">
        <v>25</v>
      </c>
      <c r="H146" s="8">
        <v>1</v>
      </c>
      <c r="I146" s="1" t="s">
        <v>250</v>
      </c>
      <c r="J146" s="1" t="s">
        <v>251</v>
      </c>
      <c r="K146" s="1" t="s">
        <v>182</v>
      </c>
      <c r="L146" s="1" t="s">
        <v>134</v>
      </c>
      <c r="M146" s="1" t="s">
        <v>30</v>
      </c>
    </row>
    <row r="147" spans="1:13">
      <c r="A147" s="1" t="s">
        <v>21</v>
      </c>
      <c r="B147" s="1" t="s">
        <v>249</v>
      </c>
      <c r="C147" s="1" t="s">
        <v>23</v>
      </c>
      <c r="D147" s="1"/>
      <c r="E147" s="1"/>
      <c r="F147" s="1" t="s">
        <v>31</v>
      </c>
      <c r="G147" s="1" t="s">
        <v>25</v>
      </c>
      <c r="H147" s="8">
        <v>2</v>
      </c>
      <c r="I147" s="1" t="s">
        <v>252</v>
      </c>
      <c r="J147" s="1" t="s">
        <v>253</v>
      </c>
      <c r="K147" s="1" t="s">
        <v>182</v>
      </c>
      <c r="L147" s="1" t="s">
        <v>134</v>
      </c>
      <c r="M147" s="1" t="s">
        <v>30</v>
      </c>
    </row>
    <row r="148" spans="1:13">
      <c r="A148" s="1" t="s">
        <v>21</v>
      </c>
      <c r="B148" s="1" t="s">
        <v>249</v>
      </c>
      <c r="C148" s="1" t="s">
        <v>23</v>
      </c>
      <c r="D148" s="1"/>
      <c r="E148" s="1"/>
      <c r="F148" s="1" t="s">
        <v>34</v>
      </c>
      <c r="G148" s="1" t="s">
        <v>25</v>
      </c>
      <c r="H148" s="8">
        <v>3</v>
      </c>
      <c r="I148" s="1" t="s">
        <v>254</v>
      </c>
      <c r="J148" s="1" t="s">
        <v>255</v>
      </c>
      <c r="K148" s="1" t="s">
        <v>182</v>
      </c>
      <c r="L148" s="1" t="s">
        <v>29</v>
      </c>
      <c r="M148" s="1" t="s">
        <v>30</v>
      </c>
    </row>
    <row r="149" spans="1:13">
      <c r="A149" s="1" t="s">
        <v>21</v>
      </c>
      <c r="B149" s="1" t="s">
        <v>249</v>
      </c>
      <c r="C149" s="1" t="s">
        <v>23</v>
      </c>
      <c r="D149" s="1"/>
      <c r="E149" s="1"/>
      <c r="F149" s="1" t="s">
        <v>37</v>
      </c>
      <c r="G149" s="1" t="s">
        <v>25</v>
      </c>
      <c r="H149" s="8">
        <v>4</v>
      </c>
      <c r="I149" s="1" t="s">
        <v>256</v>
      </c>
      <c r="J149" s="1" t="s">
        <v>257</v>
      </c>
      <c r="K149" s="1" t="s">
        <v>182</v>
      </c>
      <c r="L149" s="1" t="s">
        <v>29</v>
      </c>
      <c r="M149" s="1" t="s">
        <v>30</v>
      </c>
    </row>
    <row r="150" spans="1:13">
      <c r="A150" s="1" t="s">
        <v>21</v>
      </c>
      <c r="B150" s="1" t="s">
        <v>249</v>
      </c>
      <c r="C150" s="1" t="s">
        <v>23</v>
      </c>
      <c r="D150" s="1"/>
      <c r="E150" s="1"/>
      <c r="F150" s="1" t="s">
        <v>40</v>
      </c>
      <c r="G150" s="1" t="s">
        <v>78</v>
      </c>
      <c r="H150" s="8">
        <v>5</v>
      </c>
      <c r="I150" s="1" t="s">
        <v>258</v>
      </c>
      <c r="J150" s="1" t="s">
        <v>251</v>
      </c>
      <c r="K150" s="1" t="s">
        <v>182</v>
      </c>
      <c r="L150" s="1" t="s">
        <v>134</v>
      </c>
      <c r="M150" s="1" t="s">
        <v>30</v>
      </c>
    </row>
    <row r="151" spans="1:13">
      <c r="A151" s="1" t="s">
        <v>21</v>
      </c>
      <c r="B151" s="1" t="s">
        <v>249</v>
      </c>
      <c r="C151" s="1" t="s">
        <v>23</v>
      </c>
      <c r="D151" s="1"/>
      <c r="E151" s="1"/>
      <c r="F151" s="1" t="s">
        <v>43</v>
      </c>
      <c r="G151" s="1" t="s">
        <v>78</v>
      </c>
      <c r="H151" s="8">
        <v>6</v>
      </c>
      <c r="I151" s="1" t="s">
        <v>259</v>
      </c>
      <c r="J151" s="1" t="s">
        <v>253</v>
      </c>
      <c r="K151" s="1" t="s">
        <v>182</v>
      </c>
      <c r="L151" s="1" t="s">
        <v>134</v>
      </c>
      <c r="M151" s="1" t="s">
        <v>30</v>
      </c>
    </row>
    <row r="152" spans="1:13">
      <c r="A152" s="1" t="s">
        <v>21</v>
      </c>
      <c r="B152" s="1" t="s">
        <v>249</v>
      </c>
      <c r="C152" s="1" t="s">
        <v>23</v>
      </c>
      <c r="D152" s="1"/>
      <c r="E152" s="1"/>
      <c r="F152" s="1" t="s">
        <v>46</v>
      </c>
      <c r="G152" s="1" t="s">
        <v>78</v>
      </c>
      <c r="H152" s="8">
        <v>7</v>
      </c>
      <c r="I152" s="1" t="s">
        <v>260</v>
      </c>
      <c r="J152" s="1" t="s">
        <v>261</v>
      </c>
      <c r="K152" s="1" t="s">
        <v>182</v>
      </c>
      <c r="L152" s="1" t="s">
        <v>52</v>
      </c>
      <c r="M152" s="1" t="s">
        <v>30</v>
      </c>
    </row>
    <row r="153" spans="1:13">
      <c r="A153" s="1" t="s">
        <v>21</v>
      </c>
      <c r="B153" s="1" t="s">
        <v>249</v>
      </c>
      <c r="C153" s="1" t="s">
        <v>23</v>
      </c>
      <c r="D153" s="1"/>
      <c r="E153" s="1"/>
      <c r="F153" s="1" t="s">
        <v>49</v>
      </c>
      <c r="G153" s="1" t="s">
        <v>78</v>
      </c>
      <c r="H153" s="8">
        <v>8</v>
      </c>
      <c r="I153" s="1" t="s">
        <v>262</v>
      </c>
      <c r="J153" s="1" t="s">
        <v>263</v>
      </c>
      <c r="K153" s="1" t="s">
        <v>182</v>
      </c>
      <c r="L153" s="1" t="s">
        <v>52</v>
      </c>
      <c r="M153" s="1" t="s">
        <v>30</v>
      </c>
    </row>
    <row r="154" spans="1:13">
      <c r="A154" s="1" t="s">
        <v>21</v>
      </c>
      <c r="B154" s="1" t="s">
        <v>249</v>
      </c>
      <c r="C154" s="1" t="s">
        <v>23</v>
      </c>
      <c r="D154" s="1"/>
      <c r="E154" s="1"/>
      <c r="F154" s="1" t="s">
        <v>53</v>
      </c>
      <c r="G154" s="1" t="s">
        <v>54</v>
      </c>
      <c r="H154" s="8">
        <v>1</v>
      </c>
      <c r="I154" s="1" t="s">
        <v>264</v>
      </c>
      <c r="J154" s="1" t="s">
        <v>251</v>
      </c>
      <c r="K154" s="1" t="s">
        <v>182</v>
      </c>
      <c r="L154" s="1" t="s">
        <v>134</v>
      </c>
      <c r="M154" s="1" t="s">
        <v>56</v>
      </c>
    </row>
    <row r="155" spans="1:13">
      <c r="A155" s="1" t="s">
        <v>21</v>
      </c>
      <c r="B155" s="1" t="s">
        <v>249</v>
      </c>
      <c r="C155" s="1" t="s">
        <v>23</v>
      </c>
      <c r="D155" s="1"/>
      <c r="E155" s="1"/>
      <c r="F155" s="1" t="s">
        <v>57</v>
      </c>
      <c r="G155" s="1" t="s">
        <v>54</v>
      </c>
      <c r="H155" s="8">
        <v>2</v>
      </c>
      <c r="I155" s="1" t="s">
        <v>265</v>
      </c>
      <c r="J155" s="1" t="s">
        <v>253</v>
      </c>
      <c r="K155" s="1" t="s">
        <v>182</v>
      </c>
      <c r="L155" s="1" t="s">
        <v>134</v>
      </c>
      <c r="M155" s="1" t="s">
        <v>56</v>
      </c>
    </row>
    <row r="156" spans="1:13">
      <c r="A156" s="1" t="s">
        <v>21</v>
      </c>
      <c r="B156" s="1" t="s">
        <v>249</v>
      </c>
      <c r="C156" s="1" t="s">
        <v>23</v>
      </c>
      <c r="D156" s="1"/>
      <c r="E156" s="1"/>
      <c r="F156" s="1" t="s">
        <v>59</v>
      </c>
      <c r="G156" s="1" t="s">
        <v>54</v>
      </c>
      <c r="H156" s="8">
        <v>3</v>
      </c>
      <c r="I156" s="1" t="s">
        <v>58</v>
      </c>
      <c r="J156" s="1"/>
      <c r="K156" s="1" t="s">
        <v>58</v>
      </c>
      <c r="L156" s="1" t="s">
        <v>58</v>
      </c>
      <c r="M156" s="1" t="s">
        <v>58</v>
      </c>
    </row>
    <row r="157" spans="1:13">
      <c r="A157" s="1" t="s">
        <v>21</v>
      </c>
      <c r="B157" s="1" t="s">
        <v>249</v>
      </c>
      <c r="C157" s="1" t="s">
        <v>23</v>
      </c>
      <c r="D157" s="1"/>
      <c r="E157" s="1"/>
      <c r="F157" s="1" t="s">
        <v>60</v>
      </c>
      <c r="G157" s="1" t="s">
        <v>54</v>
      </c>
      <c r="H157" s="8">
        <v>4</v>
      </c>
      <c r="I157" s="1" t="s">
        <v>58</v>
      </c>
      <c r="J157" s="1"/>
      <c r="K157" s="1" t="s">
        <v>58</v>
      </c>
      <c r="L157" s="1" t="s">
        <v>58</v>
      </c>
      <c r="M157" s="1" t="s">
        <v>58</v>
      </c>
    </row>
    <row r="158" spans="1:13">
      <c r="A158" s="1" t="s">
        <v>21</v>
      </c>
      <c r="B158" s="1" t="s">
        <v>249</v>
      </c>
      <c r="C158" s="1" t="s">
        <v>23</v>
      </c>
      <c r="D158" s="1"/>
      <c r="E158" s="1"/>
      <c r="F158" s="1" t="s">
        <v>61</v>
      </c>
      <c r="G158" s="1" t="s">
        <v>62</v>
      </c>
      <c r="H158" s="8">
        <v>1</v>
      </c>
      <c r="I158" s="1" t="s">
        <v>266</v>
      </c>
      <c r="J158" s="1" t="s">
        <v>251</v>
      </c>
      <c r="K158" s="1" t="s">
        <v>182</v>
      </c>
      <c r="L158" s="1" t="s">
        <v>6</v>
      </c>
      <c r="M158" s="1" t="s">
        <v>56</v>
      </c>
    </row>
    <row r="159" spans="1:13">
      <c r="A159" s="1" t="s">
        <v>21</v>
      </c>
      <c r="B159" s="1" t="s">
        <v>249</v>
      </c>
      <c r="C159" s="1" t="s">
        <v>23</v>
      </c>
      <c r="D159" s="1"/>
      <c r="E159" s="1"/>
      <c r="F159" s="1" t="s">
        <v>63</v>
      </c>
      <c r="G159" s="1" t="s">
        <v>62</v>
      </c>
      <c r="H159" s="8">
        <v>2</v>
      </c>
      <c r="I159" s="1" t="s">
        <v>267</v>
      </c>
      <c r="J159" s="1" t="s">
        <v>253</v>
      </c>
      <c r="K159" s="1" t="s">
        <v>182</v>
      </c>
      <c r="L159" s="1" t="s">
        <v>6</v>
      </c>
      <c r="M159" s="1" t="s">
        <v>56</v>
      </c>
    </row>
    <row r="160" spans="1:13">
      <c r="A160" s="1" t="s">
        <v>21</v>
      </c>
      <c r="B160" s="1" t="s">
        <v>249</v>
      </c>
      <c r="C160" s="1" t="s">
        <v>23</v>
      </c>
      <c r="D160" s="1"/>
      <c r="E160" s="1"/>
      <c r="F160" s="1" t="s">
        <v>64</v>
      </c>
      <c r="G160" s="1" t="s">
        <v>62</v>
      </c>
      <c r="H160" s="8">
        <v>3</v>
      </c>
      <c r="I160" s="1" t="s">
        <v>268</v>
      </c>
      <c r="J160" s="1" t="s">
        <v>261</v>
      </c>
      <c r="K160" s="1" t="s">
        <v>182</v>
      </c>
      <c r="L160" s="1" t="s">
        <v>52</v>
      </c>
      <c r="M160" s="1" t="s">
        <v>56</v>
      </c>
    </row>
    <row r="161" spans="1:13">
      <c r="A161" s="1" t="s">
        <v>21</v>
      </c>
      <c r="B161" s="1" t="s">
        <v>249</v>
      </c>
      <c r="C161" s="1" t="s">
        <v>23</v>
      </c>
      <c r="D161" s="1"/>
      <c r="E161" s="1"/>
      <c r="F161" s="1" t="s">
        <v>65</v>
      </c>
      <c r="G161" s="1" t="s">
        <v>62</v>
      </c>
      <c r="H161" s="8">
        <v>4</v>
      </c>
      <c r="I161" s="1" t="s">
        <v>269</v>
      </c>
      <c r="J161" s="1" t="s">
        <v>263</v>
      </c>
      <c r="K161" s="1" t="s">
        <v>182</v>
      </c>
      <c r="L161" s="1" t="s">
        <v>52</v>
      </c>
      <c r="M161" s="1" t="s">
        <v>56</v>
      </c>
    </row>
    <row r="162" spans="1:13">
      <c r="A162" s="1" t="s">
        <v>21</v>
      </c>
      <c r="B162" s="1" t="s">
        <v>249</v>
      </c>
      <c r="C162" s="1"/>
      <c r="D162" s="1" t="s">
        <v>66</v>
      </c>
      <c r="E162" s="1" t="s">
        <v>67</v>
      </c>
      <c r="F162" s="1" t="s">
        <v>24</v>
      </c>
      <c r="G162" s="1" t="s">
        <v>78</v>
      </c>
      <c r="H162" s="8">
        <v>9</v>
      </c>
      <c r="I162" s="1" t="s">
        <v>270</v>
      </c>
      <c r="J162" s="1" t="s">
        <v>251</v>
      </c>
      <c r="K162" s="1" t="s">
        <v>182</v>
      </c>
      <c r="L162" s="1" t="s">
        <v>6</v>
      </c>
      <c r="M162" s="1" t="s">
        <v>30</v>
      </c>
    </row>
    <row r="163" spans="1:13">
      <c r="A163" s="1" t="s">
        <v>21</v>
      </c>
      <c r="B163" s="1" t="s">
        <v>249</v>
      </c>
      <c r="C163" s="1"/>
      <c r="D163" s="1" t="s">
        <v>66</v>
      </c>
      <c r="E163" s="1" t="s">
        <v>67</v>
      </c>
      <c r="F163" s="1" t="s">
        <v>31</v>
      </c>
      <c r="G163" s="1" t="s">
        <v>78</v>
      </c>
      <c r="H163" s="8">
        <v>10</v>
      </c>
      <c r="I163" s="1" t="s">
        <v>271</v>
      </c>
      <c r="J163" s="1" t="s">
        <v>253</v>
      </c>
      <c r="K163" s="1" t="s">
        <v>182</v>
      </c>
      <c r="L163" s="1" t="s">
        <v>6</v>
      </c>
      <c r="M163" s="1" t="s">
        <v>30</v>
      </c>
    </row>
    <row r="164" spans="1:13">
      <c r="A164" s="1" t="s">
        <v>21</v>
      </c>
      <c r="B164" s="1" t="s">
        <v>249</v>
      </c>
      <c r="C164" s="1"/>
      <c r="D164" s="1" t="s">
        <v>66</v>
      </c>
      <c r="E164" s="1" t="s">
        <v>67</v>
      </c>
      <c r="F164" s="1" t="s">
        <v>34</v>
      </c>
      <c r="G164" s="1" t="s">
        <v>78</v>
      </c>
      <c r="H164" s="8">
        <v>11</v>
      </c>
      <c r="I164" s="1" t="s">
        <v>272</v>
      </c>
      <c r="J164" s="1" t="s">
        <v>251</v>
      </c>
      <c r="K164" s="1" t="s">
        <v>182</v>
      </c>
      <c r="L164" s="1" t="s">
        <v>6</v>
      </c>
      <c r="M164" s="1" t="s">
        <v>30</v>
      </c>
    </row>
    <row r="165" spans="1:13">
      <c r="A165" s="1" t="s">
        <v>21</v>
      </c>
      <c r="B165" s="1" t="s">
        <v>249</v>
      </c>
      <c r="C165" s="1"/>
      <c r="D165" s="1" t="s">
        <v>66</v>
      </c>
      <c r="E165" s="1" t="s">
        <v>67</v>
      </c>
      <c r="F165" s="1" t="s">
        <v>37</v>
      </c>
      <c r="G165" s="1" t="s">
        <v>78</v>
      </c>
      <c r="H165" s="8">
        <v>12</v>
      </c>
      <c r="I165" s="1" t="s">
        <v>273</v>
      </c>
      <c r="J165" s="1" t="s">
        <v>253</v>
      </c>
      <c r="K165" s="1" t="s">
        <v>182</v>
      </c>
      <c r="L165" s="1" t="s">
        <v>6</v>
      </c>
      <c r="M165" s="1" t="s">
        <v>30</v>
      </c>
    </row>
    <row r="166" spans="1:13">
      <c r="A166" s="1" t="s">
        <v>21</v>
      </c>
      <c r="B166" s="1" t="s">
        <v>249</v>
      </c>
      <c r="C166" s="1"/>
      <c r="D166" s="1" t="s">
        <v>66</v>
      </c>
      <c r="E166" s="1" t="s">
        <v>67</v>
      </c>
      <c r="F166" s="1" t="s">
        <v>40</v>
      </c>
      <c r="G166" s="1" t="s">
        <v>78</v>
      </c>
      <c r="H166" s="8">
        <v>13</v>
      </c>
      <c r="I166" s="1" t="s">
        <v>274</v>
      </c>
      <c r="J166" s="1" t="s">
        <v>275</v>
      </c>
      <c r="K166" s="1" t="s">
        <v>182</v>
      </c>
      <c r="L166" s="1" t="s">
        <v>29</v>
      </c>
      <c r="M166" s="1" t="s">
        <v>30</v>
      </c>
    </row>
    <row r="167" spans="1:13">
      <c r="A167" s="1" t="s">
        <v>21</v>
      </c>
      <c r="B167" s="1" t="s">
        <v>249</v>
      </c>
      <c r="C167" s="1"/>
      <c r="D167" s="1" t="s">
        <v>66</v>
      </c>
      <c r="E167" s="1" t="s">
        <v>67</v>
      </c>
      <c r="F167" s="1" t="s">
        <v>43</v>
      </c>
      <c r="G167" s="1" t="s">
        <v>78</v>
      </c>
      <c r="H167" s="8">
        <v>14</v>
      </c>
      <c r="I167" s="1" t="s">
        <v>276</v>
      </c>
      <c r="J167" s="1" t="s">
        <v>277</v>
      </c>
      <c r="K167" s="1" t="s">
        <v>182</v>
      </c>
      <c r="L167" s="1" t="s">
        <v>29</v>
      </c>
      <c r="M167" s="1" t="s">
        <v>30</v>
      </c>
    </row>
    <row r="168" spans="1:13">
      <c r="A168" s="1" t="s">
        <v>21</v>
      </c>
      <c r="B168" s="1" t="s">
        <v>249</v>
      </c>
      <c r="C168" s="1"/>
      <c r="D168" s="1" t="s">
        <v>66</v>
      </c>
      <c r="E168" s="1" t="s">
        <v>67</v>
      </c>
      <c r="F168" s="1" t="s">
        <v>61</v>
      </c>
      <c r="G168" s="1" t="s">
        <v>62</v>
      </c>
      <c r="H168" s="8">
        <v>5</v>
      </c>
      <c r="I168" s="1" t="s">
        <v>278</v>
      </c>
      <c r="J168" s="1" t="s">
        <v>279</v>
      </c>
      <c r="K168" s="1" t="s">
        <v>182</v>
      </c>
      <c r="L168" s="1" t="s">
        <v>52</v>
      </c>
      <c r="M168" s="1" t="s">
        <v>56</v>
      </c>
    </row>
    <row r="169" spans="1:13">
      <c r="A169" s="1" t="s">
        <v>21</v>
      </c>
      <c r="B169" s="1" t="s">
        <v>249</v>
      </c>
      <c r="C169" s="1"/>
      <c r="D169" s="1" t="s">
        <v>66</v>
      </c>
      <c r="E169" s="1" t="s">
        <v>67</v>
      </c>
      <c r="F169" s="1" t="s">
        <v>63</v>
      </c>
      <c r="G169" s="1" t="s">
        <v>62</v>
      </c>
      <c r="H169" s="8">
        <v>6</v>
      </c>
      <c r="I169" s="1" t="s">
        <v>280</v>
      </c>
      <c r="J169" s="1" t="s">
        <v>281</v>
      </c>
      <c r="K169" s="1" t="s">
        <v>182</v>
      </c>
      <c r="L169" s="1" t="s">
        <v>52</v>
      </c>
      <c r="M169" s="1" t="s">
        <v>56</v>
      </c>
    </row>
    <row r="170" spans="1:13">
      <c r="A170" s="1" t="s">
        <v>21</v>
      </c>
      <c r="B170" s="1" t="s">
        <v>249</v>
      </c>
      <c r="C170" s="1"/>
      <c r="D170" s="1" t="s">
        <v>83</v>
      </c>
      <c r="E170" s="1" t="s">
        <v>84</v>
      </c>
      <c r="F170" s="1" t="s">
        <v>85</v>
      </c>
      <c r="G170" s="1" t="s">
        <v>78</v>
      </c>
      <c r="H170" s="8">
        <v>1</v>
      </c>
      <c r="I170" s="1" t="s">
        <v>282</v>
      </c>
      <c r="J170" s="1" t="s">
        <v>279</v>
      </c>
      <c r="K170" s="1" t="s">
        <v>182</v>
      </c>
      <c r="L170" s="1" t="s">
        <v>52</v>
      </c>
      <c r="M170" s="1" t="s">
        <v>30</v>
      </c>
    </row>
    <row r="171" spans="1:13">
      <c r="A171" s="1" t="s">
        <v>21</v>
      </c>
      <c r="B171" s="1" t="s">
        <v>249</v>
      </c>
      <c r="C171" s="1"/>
      <c r="D171" s="1" t="s">
        <v>83</v>
      </c>
      <c r="E171" s="1" t="s">
        <v>84</v>
      </c>
      <c r="F171" s="1" t="s">
        <v>87</v>
      </c>
      <c r="G171" s="1" t="s">
        <v>78</v>
      </c>
      <c r="H171" s="8">
        <v>2</v>
      </c>
      <c r="I171" s="1" t="s">
        <v>283</v>
      </c>
      <c r="J171" s="1" t="s">
        <v>281</v>
      </c>
      <c r="K171" s="1" t="s">
        <v>182</v>
      </c>
      <c r="L171" s="1" t="s">
        <v>52</v>
      </c>
      <c r="M171" s="1" t="s">
        <v>30</v>
      </c>
    </row>
    <row r="172" spans="1:13">
      <c r="A172" s="1" t="s">
        <v>21</v>
      </c>
      <c r="B172" s="1" t="s">
        <v>249</v>
      </c>
      <c r="C172" s="1"/>
      <c r="D172" s="1" t="s">
        <v>83</v>
      </c>
      <c r="E172" s="1" t="s">
        <v>84</v>
      </c>
      <c r="F172" s="1" t="s">
        <v>90</v>
      </c>
      <c r="G172" s="1" t="s">
        <v>78</v>
      </c>
      <c r="H172" s="8">
        <v>3</v>
      </c>
      <c r="I172" s="10" t="s">
        <v>284</v>
      </c>
      <c r="J172" s="1"/>
      <c r="K172" s="1" t="s">
        <v>58</v>
      </c>
      <c r="L172" s="1" t="s">
        <v>29</v>
      </c>
      <c r="M172" s="1" t="s">
        <v>30</v>
      </c>
    </row>
    <row r="173" spans="1:13">
      <c r="A173" s="1" t="s">
        <v>21</v>
      </c>
      <c r="B173" s="1" t="s">
        <v>249</v>
      </c>
      <c r="C173" s="1"/>
      <c r="D173" s="1" t="s">
        <v>83</v>
      </c>
      <c r="E173" s="1" t="s">
        <v>84</v>
      </c>
      <c r="F173" s="1" t="s">
        <v>93</v>
      </c>
      <c r="G173" s="1" t="s">
        <v>78</v>
      </c>
      <c r="H173" s="8">
        <v>4</v>
      </c>
      <c r="I173" s="10" t="s">
        <v>285</v>
      </c>
      <c r="J173" s="1"/>
      <c r="K173" s="1" t="s">
        <v>58</v>
      </c>
      <c r="L173" s="1" t="s">
        <v>29</v>
      </c>
      <c r="M173" s="1" t="s">
        <v>30</v>
      </c>
    </row>
    <row r="174" spans="1:13">
      <c r="A174" s="1" t="s">
        <v>21</v>
      </c>
      <c r="B174" s="1" t="s">
        <v>249</v>
      </c>
      <c r="C174" s="1"/>
      <c r="D174" s="1" t="s">
        <v>83</v>
      </c>
      <c r="E174" s="1" t="s">
        <v>84</v>
      </c>
      <c r="F174" s="1" t="s">
        <v>95</v>
      </c>
      <c r="G174" s="1" t="s">
        <v>78</v>
      </c>
      <c r="H174" s="8">
        <v>5</v>
      </c>
      <c r="I174" s="10" t="s">
        <v>286</v>
      </c>
      <c r="J174" s="1"/>
      <c r="K174" s="1" t="s">
        <v>58</v>
      </c>
      <c r="L174" s="1" t="s">
        <v>29</v>
      </c>
      <c r="M174" s="1" t="s">
        <v>30</v>
      </c>
    </row>
    <row r="175" spans="1:13">
      <c r="A175" s="1" t="s">
        <v>21</v>
      </c>
      <c r="B175" s="1" t="s">
        <v>249</v>
      </c>
      <c r="C175" s="1"/>
      <c r="D175" s="1" t="s">
        <v>83</v>
      </c>
      <c r="E175" s="1" t="s">
        <v>84</v>
      </c>
      <c r="F175" s="1" t="s">
        <v>97</v>
      </c>
      <c r="G175" s="1" t="s">
        <v>78</v>
      </c>
      <c r="H175" s="8">
        <v>6</v>
      </c>
      <c r="I175" s="10" t="s">
        <v>287</v>
      </c>
      <c r="J175" s="1"/>
      <c r="K175" s="1" t="s">
        <v>58</v>
      </c>
      <c r="L175" s="1" t="s">
        <v>29</v>
      </c>
      <c r="M175" s="1" t="s">
        <v>30</v>
      </c>
    </row>
    <row r="176" spans="1:13">
      <c r="A176" s="1" t="s">
        <v>21</v>
      </c>
      <c r="B176" s="1" t="s">
        <v>249</v>
      </c>
      <c r="C176" s="1"/>
      <c r="D176" s="1" t="s">
        <v>83</v>
      </c>
      <c r="E176" s="1" t="s">
        <v>84</v>
      </c>
      <c r="F176" s="1" t="s">
        <v>99</v>
      </c>
      <c r="G176" s="1" t="s">
        <v>78</v>
      </c>
      <c r="H176" s="8">
        <v>7</v>
      </c>
      <c r="I176" s="10" t="s">
        <v>288</v>
      </c>
      <c r="J176" s="1"/>
      <c r="K176" s="1" t="s">
        <v>58</v>
      </c>
      <c r="L176" s="1" t="s">
        <v>29</v>
      </c>
      <c r="M176" s="1" t="s">
        <v>30</v>
      </c>
    </row>
    <row r="177" spans="1:13">
      <c r="A177" s="1" t="s">
        <v>21</v>
      </c>
      <c r="B177" s="1" t="s">
        <v>249</v>
      </c>
      <c r="C177" s="1"/>
      <c r="D177" s="1" t="s">
        <v>83</v>
      </c>
      <c r="E177" s="1" t="s">
        <v>84</v>
      </c>
      <c r="F177" s="1" t="s">
        <v>100</v>
      </c>
      <c r="G177" s="1" t="s">
        <v>78</v>
      </c>
      <c r="H177" s="8">
        <v>8</v>
      </c>
      <c r="I177" s="10" t="s">
        <v>289</v>
      </c>
      <c r="J177" s="1"/>
      <c r="K177" s="1" t="s">
        <v>58</v>
      </c>
      <c r="L177" s="1" t="s">
        <v>29</v>
      </c>
      <c r="M177" s="1" t="s">
        <v>30</v>
      </c>
    </row>
    <row r="178" spans="1:13">
      <c r="A178" s="1" t="s">
        <v>21</v>
      </c>
      <c r="B178" s="1" t="s">
        <v>290</v>
      </c>
      <c r="C178" s="1" t="s">
        <v>23</v>
      </c>
      <c r="D178" s="1"/>
      <c r="E178" s="1"/>
      <c r="F178" s="1" t="s">
        <v>24</v>
      </c>
      <c r="G178" s="1" t="s">
        <v>78</v>
      </c>
      <c r="H178" s="8">
        <v>1</v>
      </c>
      <c r="I178" s="1" t="s">
        <v>291</v>
      </c>
      <c r="J178" s="1" t="s">
        <v>292</v>
      </c>
      <c r="K178" s="1" t="s">
        <v>293</v>
      </c>
      <c r="L178" s="1" t="s">
        <v>7</v>
      </c>
      <c r="M178" s="1" t="s">
        <v>30</v>
      </c>
    </row>
    <row r="179" spans="1:13">
      <c r="A179" s="1" t="s">
        <v>21</v>
      </c>
      <c r="B179" s="1" t="s">
        <v>290</v>
      </c>
      <c r="C179" s="1" t="s">
        <v>23</v>
      </c>
      <c r="D179" s="1"/>
      <c r="E179" s="1"/>
      <c r="F179" s="1" t="s">
        <v>31</v>
      </c>
      <c r="G179" s="1" t="s">
        <v>78</v>
      </c>
      <c r="H179" s="8">
        <v>2</v>
      </c>
      <c r="I179" s="1" t="s">
        <v>294</v>
      </c>
      <c r="J179" s="1" t="s">
        <v>295</v>
      </c>
      <c r="K179" s="1" t="s">
        <v>293</v>
      </c>
      <c r="L179" s="1" t="s">
        <v>7</v>
      </c>
      <c r="M179" s="1" t="s">
        <v>30</v>
      </c>
    </row>
    <row r="180" spans="1:13">
      <c r="A180" s="1" t="s">
        <v>21</v>
      </c>
      <c r="B180" s="1" t="s">
        <v>290</v>
      </c>
      <c r="C180" s="1" t="s">
        <v>23</v>
      </c>
      <c r="D180" s="1"/>
      <c r="E180" s="1"/>
      <c r="F180" s="1" t="s">
        <v>34</v>
      </c>
      <c r="G180" s="1" t="s">
        <v>78</v>
      </c>
      <c r="H180" s="8">
        <v>3</v>
      </c>
      <c r="I180" s="1" t="s">
        <v>296</v>
      </c>
      <c r="J180" s="1" t="s">
        <v>297</v>
      </c>
      <c r="K180" s="1" t="s">
        <v>293</v>
      </c>
      <c r="L180" s="1" t="s">
        <v>7</v>
      </c>
      <c r="M180" s="1" t="s">
        <v>30</v>
      </c>
    </row>
    <row r="181" spans="1:13">
      <c r="A181" s="1" t="s">
        <v>21</v>
      </c>
      <c r="B181" s="1" t="s">
        <v>290</v>
      </c>
      <c r="C181" s="1" t="s">
        <v>23</v>
      </c>
      <c r="D181" s="1"/>
      <c r="E181" s="1"/>
      <c r="F181" s="1" t="s">
        <v>37</v>
      </c>
      <c r="G181" s="1" t="s">
        <v>78</v>
      </c>
      <c r="H181" s="8">
        <v>4</v>
      </c>
      <c r="I181" s="1" t="s">
        <v>298</v>
      </c>
      <c r="J181" s="1" t="s">
        <v>299</v>
      </c>
      <c r="K181" s="1" t="s">
        <v>293</v>
      </c>
      <c r="L181" s="1" t="s">
        <v>7</v>
      </c>
      <c r="M181" s="1" t="s">
        <v>30</v>
      </c>
    </row>
    <row r="182" spans="1:13">
      <c r="A182" s="1" t="s">
        <v>21</v>
      </c>
      <c r="B182" s="1" t="s">
        <v>290</v>
      </c>
      <c r="C182" s="1" t="s">
        <v>23</v>
      </c>
      <c r="D182" s="1"/>
      <c r="E182" s="1"/>
      <c r="F182" s="1" t="s">
        <v>40</v>
      </c>
      <c r="G182" s="1" t="s">
        <v>78</v>
      </c>
      <c r="H182" s="8">
        <v>5</v>
      </c>
      <c r="I182" s="1" t="s">
        <v>300</v>
      </c>
      <c r="J182" s="1" t="s">
        <v>292</v>
      </c>
      <c r="K182" s="1" t="s">
        <v>293</v>
      </c>
      <c r="L182" s="1" t="s">
        <v>7</v>
      </c>
      <c r="M182" s="1" t="s">
        <v>30</v>
      </c>
    </row>
    <row r="183" spans="1:13">
      <c r="A183" s="1" t="s">
        <v>21</v>
      </c>
      <c r="B183" s="1" t="s">
        <v>290</v>
      </c>
      <c r="C183" s="1" t="s">
        <v>23</v>
      </c>
      <c r="D183" s="1"/>
      <c r="E183" s="1"/>
      <c r="F183" s="1" t="s">
        <v>43</v>
      </c>
      <c r="G183" s="1" t="s">
        <v>78</v>
      </c>
      <c r="H183" s="8">
        <v>6</v>
      </c>
      <c r="I183" s="1" t="s">
        <v>301</v>
      </c>
      <c r="J183" s="1" t="s">
        <v>295</v>
      </c>
      <c r="K183" s="1" t="s">
        <v>293</v>
      </c>
      <c r="L183" s="1" t="s">
        <v>7</v>
      </c>
      <c r="M183" s="1" t="s">
        <v>30</v>
      </c>
    </row>
    <row r="184" spans="1:13">
      <c r="A184" s="1" t="s">
        <v>21</v>
      </c>
      <c r="B184" s="1" t="s">
        <v>290</v>
      </c>
      <c r="C184" s="1" t="s">
        <v>23</v>
      </c>
      <c r="D184" s="1"/>
      <c r="E184" s="1"/>
      <c r="F184" s="1" t="s">
        <v>46</v>
      </c>
      <c r="G184" s="1" t="s">
        <v>78</v>
      </c>
      <c r="H184" s="8">
        <v>7</v>
      </c>
      <c r="I184" s="1" t="s">
        <v>302</v>
      </c>
      <c r="J184" s="1" t="s">
        <v>297</v>
      </c>
      <c r="K184" s="1" t="s">
        <v>293</v>
      </c>
      <c r="L184" s="1" t="s">
        <v>7</v>
      </c>
      <c r="M184" s="1" t="s">
        <v>30</v>
      </c>
    </row>
    <row r="185" spans="1:13">
      <c r="A185" s="1" t="s">
        <v>21</v>
      </c>
      <c r="B185" s="1" t="s">
        <v>290</v>
      </c>
      <c r="C185" s="1" t="s">
        <v>23</v>
      </c>
      <c r="D185" s="1"/>
      <c r="E185" s="1"/>
      <c r="F185" s="1" t="s">
        <v>49</v>
      </c>
      <c r="G185" s="1" t="s">
        <v>78</v>
      </c>
      <c r="H185" s="8">
        <v>8</v>
      </c>
      <c r="I185" s="1" t="s">
        <v>303</v>
      </c>
      <c r="J185" s="1" t="s">
        <v>299</v>
      </c>
      <c r="K185" s="1" t="s">
        <v>293</v>
      </c>
      <c r="L185" s="1" t="s">
        <v>7</v>
      </c>
      <c r="M185" s="1" t="s">
        <v>30</v>
      </c>
    </row>
    <row r="186" spans="1:13">
      <c r="A186" s="1" t="s">
        <v>21</v>
      </c>
      <c r="B186" s="1" t="s">
        <v>290</v>
      </c>
      <c r="C186" s="1" t="s">
        <v>23</v>
      </c>
      <c r="D186" s="1"/>
      <c r="E186" s="1"/>
      <c r="F186" s="1" t="s">
        <v>53</v>
      </c>
      <c r="G186" s="1" t="s">
        <v>54</v>
      </c>
      <c r="H186" s="8">
        <v>1</v>
      </c>
      <c r="I186" s="1" t="s">
        <v>58</v>
      </c>
      <c r="J186" s="1"/>
      <c r="K186" s="1" t="s">
        <v>58</v>
      </c>
      <c r="L186" s="1" t="s">
        <v>58</v>
      </c>
      <c r="M186" s="1" t="s">
        <v>58</v>
      </c>
    </row>
    <row r="187" spans="1:13">
      <c r="A187" s="1" t="s">
        <v>21</v>
      </c>
      <c r="B187" s="1" t="s">
        <v>290</v>
      </c>
      <c r="C187" s="1" t="s">
        <v>23</v>
      </c>
      <c r="D187" s="1"/>
      <c r="E187" s="1"/>
      <c r="F187" s="1" t="s">
        <v>57</v>
      </c>
      <c r="G187" s="1" t="s">
        <v>54</v>
      </c>
      <c r="H187" s="8">
        <v>2</v>
      </c>
      <c r="I187" s="1" t="s">
        <v>58</v>
      </c>
      <c r="J187" s="1"/>
      <c r="K187" s="1" t="s">
        <v>58</v>
      </c>
      <c r="L187" s="1" t="s">
        <v>58</v>
      </c>
      <c r="M187" s="1" t="s">
        <v>58</v>
      </c>
    </row>
    <row r="188" spans="1:13">
      <c r="A188" s="1" t="s">
        <v>21</v>
      </c>
      <c r="B188" s="1" t="s">
        <v>290</v>
      </c>
      <c r="C188" s="1" t="s">
        <v>23</v>
      </c>
      <c r="D188" s="1"/>
      <c r="E188" s="1"/>
      <c r="F188" s="1" t="s">
        <v>59</v>
      </c>
      <c r="G188" s="1" t="s">
        <v>54</v>
      </c>
      <c r="H188" s="8">
        <v>3</v>
      </c>
      <c r="I188" s="1" t="s">
        <v>58</v>
      </c>
      <c r="J188" s="1"/>
      <c r="K188" s="1" t="s">
        <v>58</v>
      </c>
      <c r="L188" s="1" t="s">
        <v>58</v>
      </c>
      <c r="M188" s="1" t="s">
        <v>58</v>
      </c>
    </row>
    <row r="189" spans="1:13">
      <c r="A189" s="1" t="s">
        <v>21</v>
      </c>
      <c r="B189" s="1" t="s">
        <v>290</v>
      </c>
      <c r="C189" s="1" t="s">
        <v>23</v>
      </c>
      <c r="D189" s="1"/>
      <c r="E189" s="1"/>
      <c r="F189" s="1" t="s">
        <v>60</v>
      </c>
      <c r="G189" s="1" t="s">
        <v>54</v>
      </c>
      <c r="H189" s="8">
        <v>4</v>
      </c>
      <c r="I189" s="1" t="s">
        <v>58</v>
      </c>
      <c r="J189" s="1"/>
      <c r="K189" s="1" t="s">
        <v>58</v>
      </c>
      <c r="L189" s="1" t="s">
        <v>58</v>
      </c>
      <c r="M189" s="1" t="s">
        <v>58</v>
      </c>
    </row>
    <row r="190" spans="1:13">
      <c r="A190" s="1" t="s">
        <v>21</v>
      </c>
      <c r="B190" s="1" t="s">
        <v>290</v>
      </c>
      <c r="C190" s="1" t="s">
        <v>23</v>
      </c>
      <c r="D190" s="1"/>
      <c r="E190" s="1"/>
      <c r="F190" s="1" t="s">
        <v>61</v>
      </c>
      <c r="G190" s="1" t="s">
        <v>62</v>
      </c>
      <c r="H190" s="8">
        <v>1</v>
      </c>
      <c r="I190" s="1" t="s">
        <v>304</v>
      </c>
      <c r="J190" s="1" t="s">
        <v>292</v>
      </c>
      <c r="K190" s="1" t="s">
        <v>293</v>
      </c>
      <c r="L190" s="1" t="s">
        <v>7</v>
      </c>
      <c r="M190" s="1" t="s">
        <v>56</v>
      </c>
    </row>
    <row r="191" spans="1:13">
      <c r="A191" s="1" t="s">
        <v>21</v>
      </c>
      <c r="B191" s="1" t="s">
        <v>290</v>
      </c>
      <c r="C191" s="1" t="s">
        <v>23</v>
      </c>
      <c r="D191" s="1"/>
      <c r="E191" s="1"/>
      <c r="F191" s="1" t="s">
        <v>63</v>
      </c>
      <c r="G191" s="1" t="s">
        <v>62</v>
      </c>
      <c r="H191" s="8">
        <v>2</v>
      </c>
      <c r="I191" s="1" t="s">
        <v>305</v>
      </c>
      <c r="J191" s="1" t="s">
        <v>295</v>
      </c>
      <c r="K191" s="1" t="s">
        <v>293</v>
      </c>
      <c r="L191" s="1" t="s">
        <v>7</v>
      </c>
      <c r="M191" s="1" t="s">
        <v>56</v>
      </c>
    </row>
    <row r="192" spans="1:13">
      <c r="A192" s="1" t="s">
        <v>21</v>
      </c>
      <c r="B192" s="1" t="s">
        <v>290</v>
      </c>
      <c r="C192" s="1" t="s">
        <v>23</v>
      </c>
      <c r="D192" s="1"/>
      <c r="E192" s="1"/>
      <c r="F192" s="1" t="s">
        <v>64</v>
      </c>
      <c r="G192" s="1" t="s">
        <v>62</v>
      </c>
      <c r="H192" s="8">
        <v>3</v>
      </c>
      <c r="I192" s="1" t="s">
        <v>306</v>
      </c>
      <c r="J192" s="1" t="s">
        <v>297</v>
      </c>
      <c r="K192" s="1" t="s">
        <v>293</v>
      </c>
      <c r="L192" s="1" t="s">
        <v>7</v>
      </c>
      <c r="M192" s="1" t="s">
        <v>56</v>
      </c>
    </row>
    <row r="193" spans="1:13">
      <c r="A193" s="1" t="s">
        <v>21</v>
      </c>
      <c r="B193" s="1" t="s">
        <v>290</v>
      </c>
      <c r="C193" s="1" t="s">
        <v>23</v>
      </c>
      <c r="D193" s="1"/>
      <c r="E193" s="1"/>
      <c r="F193" s="1" t="s">
        <v>65</v>
      </c>
      <c r="G193" s="1" t="s">
        <v>62</v>
      </c>
      <c r="H193" s="8">
        <v>4</v>
      </c>
      <c r="I193" s="1" t="s">
        <v>307</v>
      </c>
      <c r="J193" s="1" t="s">
        <v>299</v>
      </c>
      <c r="K193" s="1" t="s">
        <v>293</v>
      </c>
      <c r="L193" s="1" t="s">
        <v>7</v>
      </c>
      <c r="M193" s="1" t="s">
        <v>56</v>
      </c>
    </row>
    <row r="194" spans="1:13">
      <c r="A194" s="1" t="s">
        <v>21</v>
      </c>
      <c r="B194" s="1" t="s">
        <v>290</v>
      </c>
      <c r="C194" s="1"/>
      <c r="D194" s="1" t="s">
        <v>66</v>
      </c>
      <c r="E194" s="1" t="s">
        <v>67</v>
      </c>
      <c r="F194" s="1" t="s">
        <v>24</v>
      </c>
      <c r="G194" s="1" t="s">
        <v>78</v>
      </c>
      <c r="H194" s="8">
        <v>9</v>
      </c>
      <c r="I194" s="1" t="s">
        <v>308</v>
      </c>
      <c r="J194" s="1" t="s">
        <v>292</v>
      </c>
      <c r="K194" s="1" t="s">
        <v>293</v>
      </c>
      <c r="L194" s="1" t="s">
        <v>7</v>
      </c>
      <c r="M194" s="1" t="s">
        <v>30</v>
      </c>
    </row>
    <row r="195" spans="1:13">
      <c r="A195" s="1" t="s">
        <v>21</v>
      </c>
      <c r="B195" s="1" t="s">
        <v>290</v>
      </c>
      <c r="C195" s="1"/>
      <c r="D195" s="1" t="s">
        <v>66</v>
      </c>
      <c r="E195" s="1" t="s">
        <v>67</v>
      </c>
      <c r="F195" s="1" t="s">
        <v>31</v>
      </c>
      <c r="G195" s="1" t="s">
        <v>78</v>
      </c>
      <c r="H195" s="8">
        <v>10</v>
      </c>
      <c r="I195" s="1" t="s">
        <v>309</v>
      </c>
      <c r="J195" s="1" t="s">
        <v>295</v>
      </c>
      <c r="K195" s="1" t="s">
        <v>293</v>
      </c>
      <c r="L195" s="1" t="s">
        <v>7</v>
      </c>
      <c r="M195" s="1" t="s">
        <v>30</v>
      </c>
    </row>
    <row r="196" spans="1:13">
      <c r="A196" s="1" t="s">
        <v>21</v>
      </c>
      <c r="B196" s="1" t="s">
        <v>290</v>
      </c>
      <c r="C196" s="1"/>
      <c r="D196" s="1" t="s">
        <v>66</v>
      </c>
      <c r="E196" s="1" t="s">
        <v>67</v>
      </c>
      <c r="F196" s="1" t="s">
        <v>34</v>
      </c>
      <c r="G196" s="1" t="s">
        <v>78</v>
      </c>
      <c r="H196" s="8">
        <v>11</v>
      </c>
      <c r="I196" s="1" t="s">
        <v>310</v>
      </c>
      <c r="J196" s="1" t="s">
        <v>297</v>
      </c>
      <c r="K196" s="1" t="s">
        <v>293</v>
      </c>
      <c r="L196" s="1" t="s">
        <v>7</v>
      </c>
      <c r="M196" s="1" t="s">
        <v>30</v>
      </c>
    </row>
    <row r="197" spans="1:13">
      <c r="A197" s="1" t="s">
        <v>21</v>
      </c>
      <c r="B197" s="1" t="s">
        <v>290</v>
      </c>
      <c r="C197" s="1"/>
      <c r="D197" s="1" t="s">
        <v>66</v>
      </c>
      <c r="E197" s="1" t="s">
        <v>67</v>
      </c>
      <c r="F197" s="1" t="s">
        <v>37</v>
      </c>
      <c r="G197" s="1" t="s">
        <v>78</v>
      </c>
      <c r="H197" s="8">
        <v>12</v>
      </c>
      <c r="I197" s="1" t="s">
        <v>311</v>
      </c>
      <c r="J197" s="1" t="s">
        <v>299</v>
      </c>
      <c r="K197" s="1" t="s">
        <v>293</v>
      </c>
      <c r="L197" s="1" t="s">
        <v>7</v>
      </c>
      <c r="M197" s="1" t="s">
        <v>30</v>
      </c>
    </row>
    <row r="198" spans="1:13">
      <c r="A198" s="1" t="s">
        <v>21</v>
      </c>
      <c r="B198" s="1" t="s">
        <v>290</v>
      </c>
      <c r="C198" s="1"/>
      <c r="D198" s="1" t="s">
        <v>66</v>
      </c>
      <c r="E198" s="1" t="s">
        <v>67</v>
      </c>
      <c r="F198" s="1" t="s">
        <v>40</v>
      </c>
      <c r="G198" s="1" t="s">
        <v>78</v>
      </c>
      <c r="H198" s="8">
        <v>13</v>
      </c>
      <c r="I198" s="1" t="s">
        <v>58</v>
      </c>
      <c r="J198" s="1"/>
      <c r="K198" s="1" t="s">
        <v>58</v>
      </c>
      <c r="L198" s="1" t="s">
        <v>58</v>
      </c>
      <c r="M198" s="1" t="s">
        <v>58</v>
      </c>
    </row>
    <row r="199" spans="1:13">
      <c r="A199" s="1" t="s">
        <v>21</v>
      </c>
      <c r="B199" s="1" t="s">
        <v>290</v>
      </c>
      <c r="C199" s="1"/>
      <c r="D199" s="1" t="s">
        <v>66</v>
      </c>
      <c r="E199" s="1" t="s">
        <v>67</v>
      </c>
      <c r="F199" s="1" t="s">
        <v>43</v>
      </c>
      <c r="G199" s="1" t="s">
        <v>78</v>
      </c>
      <c r="H199" s="8">
        <v>14</v>
      </c>
      <c r="I199" s="1" t="s">
        <v>58</v>
      </c>
      <c r="J199" s="1"/>
      <c r="K199" s="1" t="s">
        <v>58</v>
      </c>
      <c r="L199" s="1" t="s">
        <v>58</v>
      </c>
      <c r="M199" s="1" t="s">
        <v>58</v>
      </c>
    </row>
    <row r="200" spans="1:13">
      <c r="A200" s="1" t="s">
        <v>21</v>
      </c>
      <c r="B200" s="1" t="s">
        <v>290</v>
      </c>
      <c r="C200" s="1"/>
      <c r="D200" s="1" t="s">
        <v>66</v>
      </c>
      <c r="E200" s="1" t="s">
        <v>67</v>
      </c>
      <c r="F200" s="1" t="s">
        <v>61</v>
      </c>
      <c r="G200" s="1" t="s">
        <v>62</v>
      </c>
      <c r="H200" s="8">
        <v>5</v>
      </c>
      <c r="I200" s="1" t="s">
        <v>58</v>
      </c>
      <c r="J200" s="1"/>
      <c r="K200" s="1" t="s">
        <v>58</v>
      </c>
      <c r="L200" s="1" t="s">
        <v>58</v>
      </c>
      <c r="M200" s="1" t="s">
        <v>58</v>
      </c>
    </row>
    <row r="201" spans="1:13">
      <c r="A201" s="1" t="s">
        <v>21</v>
      </c>
      <c r="B201" s="1" t="s">
        <v>290</v>
      </c>
      <c r="C201" s="1"/>
      <c r="D201" s="1" t="s">
        <v>66</v>
      </c>
      <c r="E201" s="1" t="s">
        <v>67</v>
      </c>
      <c r="F201" s="1" t="s">
        <v>63</v>
      </c>
      <c r="G201" s="1" t="s">
        <v>62</v>
      </c>
      <c r="H201" s="8">
        <v>6</v>
      </c>
      <c r="I201" s="1" t="s">
        <v>58</v>
      </c>
      <c r="J201" s="1"/>
      <c r="K201" s="1" t="s">
        <v>58</v>
      </c>
      <c r="L201" s="1" t="s">
        <v>58</v>
      </c>
      <c r="M201" s="1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2"/>
  <sheetViews>
    <sheetView tabSelected="1" zoomScaleNormal="100" workbookViewId="0"/>
  </sheetViews>
  <sheetFormatPr defaultRowHeight="15"/>
  <cols>
    <col min="1" max="1" width="13" style="2" customWidth="1"/>
    <col min="2" max="2" width="13.85546875" bestFit="1" customWidth="1"/>
    <col min="3" max="3" width="11.5703125" bestFit="1" customWidth="1"/>
    <col min="4" max="4" width="28.28515625" bestFit="1" customWidth="1"/>
    <col min="5" max="5" width="62.5703125" bestFit="1" customWidth="1"/>
    <col min="6" max="6" width="11.5703125" bestFit="1" customWidth="1"/>
    <col min="10" max="10" width="11.42578125" bestFit="1" customWidth="1"/>
    <col min="11" max="11" width="17.28515625" bestFit="1" customWidth="1"/>
    <col min="12" max="12" width="13" bestFit="1" customWidth="1"/>
    <col min="13" max="13" width="14.85546875" bestFit="1" customWidth="1"/>
    <col min="14" max="14" width="22" customWidth="1"/>
    <col min="16" max="16" width="24" bestFit="1" customWidth="1"/>
  </cols>
  <sheetData>
    <row r="1" spans="1:16" s="12" customFormat="1" ht="15.75">
      <c r="A1" s="25" t="s">
        <v>312</v>
      </c>
      <c r="B1" s="11" t="s">
        <v>313</v>
      </c>
      <c r="C1" s="11" t="s">
        <v>314</v>
      </c>
      <c r="D1" s="12" t="s">
        <v>315</v>
      </c>
      <c r="E1" s="12" t="s">
        <v>316</v>
      </c>
      <c r="F1" s="11" t="s">
        <v>14</v>
      </c>
      <c r="G1" s="11" t="s">
        <v>317</v>
      </c>
      <c r="H1" s="11" t="s">
        <v>318</v>
      </c>
      <c r="I1" s="13" t="s">
        <v>319</v>
      </c>
      <c r="J1" s="13" t="s">
        <v>320</v>
      </c>
      <c r="K1" s="11" t="s">
        <v>19</v>
      </c>
      <c r="L1" s="13" t="s">
        <v>321</v>
      </c>
      <c r="M1" s="11" t="s">
        <v>322</v>
      </c>
      <c r="N1" s="11" t="s">
        <v>323</v>
      </c>
      <c r="O1" s="11" t="s">
        <v>324</v>
      </c>
      <c r="P1" s="11" t="s">
        <v>325</v>
      </c>
    </row>
    <row r="2" spans="1:16" s="12" customFormat="1" ht="15.75">
      <c r="A2" s="26" t="s">
        <v>326</v>
      </c>
      <c r="B2" s="14" t="s">
        <v>327</v>
      </c>
      <c r="C2" s="14">
        <v>1</v>
      </c>
      <c r="D2" s="15" t="s">
        <v>328</v>
      </c>
      <c r="E2" s="15" t="s">
        <v>26</v>
      </c>
      <c r="F2" s="16" t="s">
        <v>329</v>
      </c>
      <c r="G2" s="16" t="s">
        <v>330</v>
      </c>
      <c r="H2" s="16" t="str">
        <f>""&amp;MID(A2,4,2)</f>
        <v>01</v>
      </c>
      <c r="I2" s="17" t="s">
        <v>319</v>
      </c>
      <c r="J2" s="17" t="s">
        <v>331</v>
      </c>
      <c r="K2" s="18" t="s">
        <v>332</v>
      </c>
      <c r="L2" s="19">
        <v>0</v>
      </c>
      <c r="M2" s="16" t="str">
        <f>DEC2HEX(O2,3)</f>
        <v>001</v>
      </c>
      <c r="N2" s="16" t="str">
        <f>_xlfn.CONCAT(G2," ",H2," ",I2," ",J2," ",K2," ",L2," ",M2)</f>
        <v>GL 01 00 01 C0 0 001</v>
      </c>
      <c r="O2" s="14">
        <v>1</v>
      </c>
      <c r="P2" s="11" t="s">
        <v>2</v>
      </c>
    </row>
    <row r="3" spans="1:16" s="12" customFormat="1" ht="15.75">
      <c r="A3" s="26" t="s">
        <v>326</v>
      </c>
      <c r="B3" s="14" t="s">
        <v>340</v>
      </c>
      <c r="C3" s="14">
        <v>1</v>
      </c>
      <c r="D3" s="15" t="s">
        <v>341</v>
      </c>
      <c r="E3" s="15" t="s">
        <v>55</v>
      </c>
      <c r="F3" s="16" t="s">
        <v>329</v>
      </c>
      <c r="G3" s="16" t="s">
        <v>330</v>
      </c>
      <c r="H3" s="16" t="str">
        <f>""&amp;MID(A3,4,2)</f>
        <v>01</v>
      </c>
      <c r="I3" s="17" t="s">
        <v>319</v>
      </c>
      <c r="J3" s="17" t="s">
        <v>331</v>
      </c>
      <c r="K3" s="18" t="s">
        <v>332</v>
      </c>
      <c r="L3" s="19">
        <v>0</v>
      </c>
      <c r="M3" s="16" t="str">
        <f>DEC2HEX(O3,3)</f>
        <v>009</v>
      </c>
      <c r="N3" s="16" t="str">
        <f>_xlfn.CONCAT(G3," ",H3," ",I3," ",J3," ",K3," ",L3," ",M3)</f>
        <v>GL 01 00 01 C0 0 009</v>
      </c>
      <c r="O3" s="14">
        <v>9</v>
      </c>
      <c r="P3" s="11" t="s">
        <v>2</v>
      </c>
    </row>
    <row r="4" spans="1:16" s="12" customFormat="1" ht="15.75">
      <c r="A4" s="26" t="s">
        <v>326</v>
      </c>
      <c r="B4" s="14" t="s">
        <v>327</v>
      </c>
      <c r="C4" s="14">
        <v>2</v>
      </c>
      <c r="D4" s="15" t="s">
        <v>333</v>
      </c>
      <c r="E4" s="15" t="s">
        <v>32</v>
      </c>
      <c r="F4" s="16" t="s">
        <v>329</v>
      </c>
      <c r="G4" s="16" t="s">
        <v>330</v>
      </c>
      <c r="H4" s="16" t="str">
        <f>""&amp;MID(A4,4,2)</f>
        <v>01</v>
      </c>
      <c r="I4" s="17" t="s">
        <v>319</v>
      </c>
      <c r="J4" s="17" t="s">
        <v>331</v>
      </c>
      <c r="K4" s="18" t="s">
        <v>332</v>
      </c>
      <c r="L4" s="19">
        <v>0</v>
      </c>
      <c r="M4" s="16" t="str">
        <f>DEC2HEX(O4,3)</f>
        <v>002</v>
      </c>
      <c r="N4" s="16" t="str">
        <f>_xlfn.CONCAT(G4," ",H4," ",I4," ",J4," ",K4," ",L4," ",M4)</f>
        <v>GL 01 00 01 C0 0 002</v>
      </c>
      <c r="O4" s="14">
        <v>2</v>
      </c>
      <c r="P4" s="11" t="s">
        <v>2</v>
      </c>
    </row>
    <row r="5" spans="1:16" s="12" customFormat="1" ht="15.75">
      <c r="A5" s="26" t="s">
        <v>326</v>
      </c>
      <c r="B5" s="14" t="s">
        <v>327</v>
      </c>
      <c r="C5" s="14">
        <v>3</v>
      </c>
      <c r="D5" s="15" t="s">
        <v>334</v>
      </c>
      <c r="E5" s="15" t="s">
        <v>35</v>
      </c>
      <c r="F5" s="16" t="s">
        <v>329</v>
      </c>
      <c r="G5" s="16" t="s">
        <v>330</v>
      </c>
      <c r="H5" s="16" t="str">
        <f>""&amp;MID(A5,4,2)</f>
        <v>01</v>
      </c>
      <c r="I5" s="17" t="s">
        <v>319</v>
      </c>
      <c r="J5" s="17" t="s">
        <v>331</v>
      </c>
      <c r="K5" s="18" t="s">
        <v>332</v>
      </c>
      <c r="L5" s="19">
        <v>0</v>
      </c>
      <c r="M5" s="16" t="str">
        <f>DEC2HEX(O5,3)</f>
        <v>003</v>
      </c>
      <c r="N5" s="16" t="str">
        <f>_xlfn.CONCAT(G5," ",H5," ",I5," ",J5," ",K5," ",L5," ",M5)</f>
        <v>GL 01 00 01 C0 0 003</v>
      </c>
      <c r="O5" s="14">
        <v>3</v>
      </c>
      <c r="P5" s="11" t="s">
        <v>2</v>
      </c>
    </row>
    <row r="6" spans="1:16" s="12" customFormat="1" ht="15.75">
      <c r="A6" s="26" t="s">
        <v>326</v>
      </c>
      <c r="B6" s="14" t="s">
        <v>327</v>
      </c>
      <c r="C6" s="14">
        <v>4</v>
      </c>
      <c r="D6" s="15" t="s">
        <v>335</v>
      </c>
      <c r="E6" s="15" t="s">
        <v>38</v>
      </c>
      <c r="F6" s="16" t="s">
        <v>329</v>
      </c>
      <c r="G6" s="16" t="s">
        <v>330</v>
      </c>
      <c r="H6" s="16" t="str">
        <f>""&amp;MID(A6,4,2)</f>
        <v>01</v>
      </c>
      <c r="I6" s="17" t="s">
        <v>319</v>
      </c>
      <c r="J6" s="17" t="s">
        <v>331</v>
      </c>
      <c r="K6" s="18" t="s">
        <v>332</v>
      </c>
      <c r="L6" s="19">
        <v>0</v>
      </c>
      <c r="M6" s="16" t="str">
        <f>DEC2HEX(O6,3)</f>
        <v>004</v>
      </c>
      <c r="N6" s="16" t="str">
        <f>_xlfn.CONCAT(G6," ",H6," ",I6," ",J6," ",K6," ",L6," ",M6)</f>
        <v>GL 01 00 01 C0 0 004</v>
      </c>
      <c r="O6" s="14">
        <v>4</v>
      </c>
      <c r="P6" s="11" t="s">
        <v>2</v>
      </c>
    </row>
    <row r="7" spans="1:16" s="12" customFormat="1" ht="15.75">
      <c r="A7" s="26" t="s">
        <v>326</v>
      </c>
      <c r="B7" s="14" t="s">
        <v>327</v>
      </c>
      <c r="C7" s="14">
        <v>5</v>
      </c>
      <c r="D7" s="15" t="s">
        <v>336</v>
      </c>
      <c r="E7" s="15" t="s">
        <v>41</v>
      </c>
      <c r="F7" s="16" t="s">
        <v>329</v>
      </c>
      <c r="G7" s="16" t="s">
        <v>330</v>
      </c>
      <c r="H7" s="16" t="str">
        <f>""&amp;MID(A7,4,2)</f>
        <v>01</v>
      </c>
      <c r="I7" s="17" t="s">
        <v>319</v>
      </c>
      <c r="J7" s="17" t="s">
        <v>331</v>
      </c>
      <c r="K7" s="18" t="s">
        <v>332</v>
      </c>
      <c r="L7" s="19">
        <v>0</v>
      </c>
      <c r="M7" s="16" t="str">
        <f>DEC2HEX(O7,3)</f>
        <v>005</v>
      </c>
      <c r="N7" s="16" t="str">
        <f>_xlfn.CONCAT(G7," ",H7," ",I7," ",J7," ",K7," ",L7," ",M7)</f>
        <v>GL 01 00 01 C0 0 005</v>
      </c>
      <c r="O7" s="14">
        <v>5</v>
      </c>
      <c r="P7" s="11" t="s">
        <v>2</v>
      </c>
    </row>
    <row r="8" spans="1:16" s="12" customFormat="1" ht="15.75">
      <c r="A8" s="26" t="s">
        <v>326</v>
      </c>
      <c r="B8" s="14" t="s">
        <v>363</v>
      </c>
      <c r="C8" s="14">
        <v>5</v>
      </c>
      <c r="D8" s="15" t="s">
        <v>364</v>
      </c>
      <c r="E8" s="15" t="s">
        <v>82</v>
      </c>
      <c r="F8" s="16" t="s">
        <v>329</v>
      </c>
      <c r="G8" s="16" t="s">
        <v>330</v>
      </c>
      <c r="H8" s="16" t="str">
        <f>""&amp;MID(A8,4,2)</f>
        <v>01</v>
      </c>
      <c r="I8" s="17" t="s">
        <v>319</v>
      </c>
      <c r="J8" s="17" t="s">
        <v>331</v>
      </c>
      <c r="K8" s="18" t="s">
        <v>362</v>
      </c>
      <c r="L8" s="19">
        <v>0</v>
      </c>
      <c r="M8" s="16" t="str">
        <f>DEC2HEX(O8,3)</f>
        <v>002</v>
      </c>
      <c r="N8" s="16" t="str">
        <f>_xlfn.CONCAT(G8," ",H8," ",I8," ",J8," ",K8," ",L8," ",M8)</f>
        <v>GL 01 00 01 B0 0 002</v>
      </c>
      <c r="O8" s="14">
        <v>2</v>
      </c>
      <c r="P8" s="11" t="s">
        <v>3</v>
      </c>
    </row>
    <row r="9" spans="1:16" s="12" customFormat="1" ht="15.75">
      <c r="A9" s="26" t="s">
        <v>326</v>
      </c>
      <c r="B9" s="14" t="s">
        <v>327</v>
      </c>
      <c r="C9" s="14">
        <v>6</v>
      </c>
      <c r="D9" s="15" t="s">
        <v>337</v>
      </c>
      <c r="E9" s="15" t="s">
        <v>44</v>
      </c>
      <c r="F9" s="16" t="s">
        <v>329</v>
      </c>
      <c r="G9" s="16" t="s">
        <v>330</v>
      </c>
      <c r="H9" s="16" t="str">
        <f>""&amp;MID(A9,4,2)</f>
        <v>01</v>
      </c>
      <c r="I9" s="17" t="s">
        <v>319</v>
      </c>
      <c r="J9" s="17" t="s">
        <v>331</v>
      </c>
      <c r="K9" s="18" t="s">
        <v>332</v>
      </c>
      <c r="L9" s="19">
        <v>0</v>
      </c>
      <c r="M9" s="16" t="str">
        <f>DEC2HEX(O9,3)</f>
        <v>006</v>
      </c>
      <c r="N9" s="16" t="str">
        <f>_xlfn.CONCAT(G9," ",H9," ",I9," ",J9," ",K9," ",L9," ",M9)</f>
        <v>GL 01 00 01 C0 0 006</v>
      </c>
      <c r="O9" s="14">
        <v>6</v>
      </c>
      <c r="P9" s="11" t="s">
        <v>2</v>
      </c>
    </row>
    <row r="10" spans="1:16" s="12" customFormat="1" ht="15.75">
      <c r="A10" s="26" t="s">
        <v>326</v>
      </c>
      <c r="B10" s="14" t="s">
        <v>327</v>
      </c>
      <c r="C10" s="14">
        <v>7</v>
      </c>
      <c r="D10" s="15" t="s">
        <v>338</v>
      </c>
      <c r="E10" s="15" t="s">
        <v>47</v>
      </c>
      <c r="F10" s="16" t="s">
        <v>329</v>
      </c>
      <c r="G10" s="16" t="s">
        <v>330</v>
      </c>
      <c r="H10" s="16" t="str">
        <f>""&amp;MID(A10,4,2)</f>
        <v>01</v>
      </c>
      <c r="I10" s="17" t="s">
        <v>319</v>
      </c>
      <c r="J10" s="17" t="s">
        <v>331</v>
      </c>
      <c r="K10" s="18" t="s">
        <v>332</v>
      </c>
      <c r="L10" s="19">
        <v>0</v>
      </c>
      <c r="M10" s="16" t="str">
        <f>DEC2HEX(O10,3)</f>
        <v>007</v>
      </c>
      <c r="N10" s="16" t="str">
        <f>_xlfn.CONCAT(G10," ",H10," ",I10," ",J10," ",K10," ",L10," ",M10)</f>
        <v>GL 01 00 01 C0 0 007</v>
      </c>
      <c r="O10" s="14">
        <v>7</v>
      </c>
      <c r="P10" s="11" t="s">
        <v>2</v>
      </c>
    </row>
    <row r="11" spans="1:16" s="12" customFormat="1" ht="15.75">
      <c r="A11" s="26" t="s">
        <v>326</v>
      </c>
      <c r="B11" s="14" t="s">
        <v>327</v>
      </c>
      <c r="C11" s="14">
        <v>8</v>
      </c>
      <c r="D11" s="15" t="s">
        <v>339</v>
      </c>
      <c r="E11" s="15" t="s">
        <v>50</v>
      </c>
      <c r="F11" s="16" t="s">
        <v>329</v>
      </c>
      <c r="G11" s="16" t="s">
        <v>330</v>
      </c>
      <c r="H11" s="16" t="str">
        <f>""&amp;MID(A11,4,2)</f>
        <v>01</v>
      </c>
      <c r="I11" s="17" t="s">
        <v>319</v>
      </c>
      <c r="J11" s="17" t="s">
        <v>331</v>
      </c>
      <c r="K11" s="18" t="s">
        <v>332</v>
      </c>
      <c r="L11" s="19">
        <v>0</v>
      </c>
      <c r="M11" s="16" t="str">
        <f>DEC2HEX(O11,3)</f>
        <v>008</v>
      </c>
      <c r="N11" s="16" t="str">
        <f>_xlfn.CONCAT(G11," ",H11," ",I11," ",J11," ",K11," ",L11," ",M11)</f>
        <v>GL 01 00 01 C0 0 008</v>
      </c>
      <c r="O11" s="14">
        <v>8</v>
      </c>
      <c r="P11" s="11" t="s">
        <v>2</v>
      </c>
    </row>
    <row r="12" spans="1:16" s="12" customFormat="1" ht="15.75">
      <c r="A12" s="26" t="s">
        <v>326</v>
      </c>
      <c r="B12" s="14" t="s">
        <v>327</v>
      </c>
      <c r="C12" s="14">
        <v>9</v>
      </c>
      <c r="D12" s="15" t="s">
        <v>342</v>
      </c>
      <c r="E12" s="15" t="s">
        <v>68</v>
      </c>
      <c r="F12" s="16" t="s">
        <v>329</v>
      </c>
      <c r="G12" s="16" t="s">
        <v>330</v>
      </c>
      <c r="H12" s="16" t="str">
        <f>""&amp;MID(A12,4,2)</f>
        <v>01</v>
      </c>
      <c r="I12" s="17" t="s">
        <v>319</v>
      </c>
      <c r="J12" s="17" t="s">
        <v>331</v>
      </c>
      <c r="K12" s="18" t="s">
        <v>332</v>
      </c>
      <c r="L12" s="19">
        <v>0</v>
      </c>
      <c r="M12" s="16" t="str">
        <f>DEC2HEX(O12,3)</f>
        <v>00A</v>
      </c>
      <c r="N12" s="16" t="str">
        <f>_xlfn.CONCAT(G12," ",H12," ",I12," ",J12," ",K12," ",L12," ",M12)</f>
        <v>GL 01 00 01 C0 0 00A</v>
      </c>
      <c r="O12" s="14">
        <v>10</v>
      </c>
      <c r="P12" s="11" t="s">
        <v>2</v>
      </c>
    </row>
    <row r="13" spans="1:16" s="12" customFormat="1" ht="15.75">
      <c r="A13" s="26" t="s">
        <v>326</v>
      </c>
      <c r="B13" s="14" t="s">
        <v>360</v>
      </c>
      <c r="C13" s="14">
        <v>9</v>
      </c>
      <c r="D13" s="15" t="s">
        <v>361</v>
      </c>
      <c r="E13" s="15" t="s">
        <v>79</v>
      </c>
      <c r="F13" s="16" t="s">
        <v>329</v>
      </c>
      <c r="G13" s="16" t="s">
        <v>330</v>
      </c>
      <c r="H13" s="16" t="str">
        <f>""&amp;MID(A13,4,2)</f>
        <v>01</v>
      </c>
      <c r="I13" s="17" t="s">
        <v>319</v>
      </c>
      <c r="J13" s="17" t="s">
        <v>331</v>
      </c>
      <c r="K13" s="18" t="s">
        <v>362</v>
      </c>
      <c r="L13" s="19">
        <v>0</v>
      </c>
      <c r="M13" s="16" t="str">
        <f>DEC2HEX(O13,3)</f>
        <v>001</v>
      </c>
      <c r="N13" s="16" t="str">
        <f>_xlfn.CONCAT(G13," ",H13," ",I13," ",J13," ",K13," ",L13," ",M13)</f>
        <v>GL 01 00 01 B0 0 001</v>
      </c>
      <c r="O13" s="14">
        <v>1</v>
      </c>
      <c r="P13" s="11" t="s">
        <v>3</v>
      </c>
    </row>
    <row r="14" spans="1:16" s="12" customFormat="1" ht="15.75">
      <c r="A14" s="26" t="s">
        <v>326</v>
      </c>
      <c r="B14" s="14" t="s">
        <v>327</v>
      </c>
      <c r="C14" s="14">
        <v>10</v>
      </c>
      <c r="D14" s="15" t="s">
        <v>343</v>
      </c>
      <c r="E14" s="15" t="s">
        <v>70</v>
      </c>
      <c r="F14" s="16" t="s">
        <v>329</v>
      </c>
      <c r="G14" s="16" t="s">
        <v>330</v>
      </c>
      <c r="H14" s="16" t="str">
        <f>""&amp;MID(A14,4,2)</f>
        <v>01</v>
      </c>
      <c r="I14" s="17" t="s">
        <v>319</v>
      </c>
      <c r="J14" s="17" t="s">
        <v>331</v>
      </c>
      <c r="K14" s="18" t="s">
        <v>332</v>
      </c>
      <c r="L14" s="19">
        <v>0</v>
      </c>
      <c r="M14" s="16" t="str">
        <f>DEC2HEX(O14,3)</f>
        <v>00B</v>
      </c>
      <c r="N14" s="16" t="str">
        <f>_xlfn.CONCAT(G14," ",H14," ",I14," ",J14," ",K14," ",L14," ",M14)</f>
        <v>GL 01 00 01 C0 0 00B</v>
      </c>
      <c r="O14" s="14">
        <v>11</v>
      </c>
      <c r="P14" s="11" t="s">
        <v>2</v>
      </c>
    </row>
    <row r="15" spans="1:16" s="12" customFormat="1" ht="15.75">
      <c r="A15" s="26" t="s">
        <v>326</v>
      </c>
      <c r="B15" s="14" t="s">
        <v>327</v>
      </c>
      <c r="C15" s="14">
        <v>11</v>
      </c>
      <c r="D15" s="15" t="s">
        <v>344</v>
      </c>
      <c r="E15" s="15" t="s">
        <v>72</v>
      </c>
      <c r="F15" s="16" t="s">
        <v>329</v>
      </c>
      <c r="G15" s="16" t="s">
        <v>330</v>
      </c>
      <c r="H15" s="16" t="str">
        <f>""&amp;MID(A15,4,2)</f>
        <v>01</v>
      </c>
      <c r="I15" s="17" t="s">
        <v>319</v>
      </c>
      <c r="J15" s="17" t="s">
        <v>331</v>
      </c>
      <c r="K15" s="18" t="s">
        <v>332</v>
      </c>
      <c r="L15" s="19">
        <v>0</v>
      </c>
      <c r="M15" s="16" t="str">
        <f>DEC2HEX(O15,3)</f>
        <v>00C</v>
      </c>
      <c r="N15" s="16" t="str">
        <f>_xlfn.CONCAT(G15," ",H15," ",I15," ",J15," ",K15," ",L15," ",M15)</f>
        <v>GL 01 00 01 C0 0 00C</v>
      </c>
      <c r="O15" s="14">
        <v>12</v>
      </c>
      <c r="P15" s="11" t="s">
        <v>2</v>
      </c>
    </row>
    <row r="16" spans="1:16" s="12" customFormat="1" ht="15.75">
      <c r="A16" s="26" t="s">
        <v>326</v>
      </c>
      <c r="B16" s="14" t="s">
        <v>327</v>
      </c>
      <c r="C16" s="14">
        <v>12</v>
      </c>
      <c r="D16" s="15" t="s">
        <v>345</v>
      </c>
      <c r="E16" s="15" t="s">
        <v>74</v>
      </c>
      <c r="F16" s="16" t="s">
        <v>329</v>
      </c>
      <c r="G16" s="16" t="s">
        <v>330</v>
      </c>
      <c r="H16" s="16" t="str">
        <f>""&amp;MID(A16,4,2)</f>
        <v>01</v>
      </c>
      <c r="I16" s="17" t="s">
        <v>319</v>
      </c>
      <c r="J16" s="17" t="s">
        <v>331</v>
      </c>
      <c r="K16" s="18" t="s">
        <v>332</v>
      </c>
      <c r="L16" s="19">
        <v>0</v>
      </c>
      <c r="M16" s="16" t="str">
        <f>DEC2HEX(O16,3)</f>
        <v>00D</v>
      </c>
      <c r="N16" s="16" t="str">
        <f>_xlfn.CONCAT(G16," ",H16," ",I16," ",J16," ",K16," ",L16," ",M16)</f>
        <v>GL 01 00 01 C0 0 00D</v>
      </c>
      <c r="O16" s="14">
        <v>13</v>
      </c>
      <c r="P16" s="11" t="s">
        <v>2</v>
      </c>
    </row>
    <row r="17" spans="1:16" s="12" customFormat="1" ht="15.75">
      <c r="A17" s="26" t="s">
        <v>326</v>
      </c>
      <c r="B17" s="14" t="s">
        <v>327</v>
      </c>
      <c r="C17" s="14">
        <v>13</v>
      </c>
      <c r="D17" s="15" t="s">
        <v>346</v>
      </c>
      <c r="E17" s="15" t="s">
        <v>76</v>
      </c>
      <c r="F17" s="16" t="s">
        <v>329</v>
      </c>
      <c r="G17" s="16" t="s">
        <v>330</v>
      </c>
      <c r="H17" s="16" t="str">
        <f>""&amp;MID(A17,4,2)</f>
        <v>01</v>
      </c>
      <c r="I17" s="17" t="s">
        <v>319</v>
      </c>
      <c r="J17" s="17" t="s">
        <v>331</v>
      </c>
      <c r="K17" s="18" t="s">
        <v>332</v>
      </c>
      <c r="L17" s="19">
        <v>0</v>
      </c>
      <c r="M17" s="16" t="str">
        <f>DEC2HEX(O17,3)</f>
        <v>00E</v>
      </c>
      <c r="N17" s="16" t="str">
        <f>_xlfn.CONCAT(G17," ",H17," ",I17," ",J17," ",K17," ",L17," ",M17)</f>
        <v>GL 01 00 01 C0 0 00E</v>
      </c>
      <c r="O17" s="14">
        <v>14</v>
      </c>
      <c r="P17" s="11" t="s">
        <v>2</v>
      </c>
    </row>
    <row r="18" spans="1:16" s="12" customFormat="1" ht="15.75">
      <c r="A18" s="26" t="s">
        <v>365</v>
      </c>
      <c r="B18" s="14" t="s">
        <v>360</v>
      </c>
      <c r="C18" s="14">
        <v>1</v>
      </c>
      <c r="D18" s="15" t="s">
        <v>366</v>
      </c>
      <c r="E18" s="15" t="s">
        <v>86</v>
      </c>
      <c r="F18" s="16" t="s">
        <v>329</v>
      </c>
      <c r="G18" s="16" t="s">
        <v>330</v>
      </c>
      <c r="H18" s="16" t="str">
        <f>""&amp;MID(A18,4,2)</f>
        <v>01</v>
      </c>
      <c r="I18" s="17" t="s">
        <v>319</v>
      </c>
      <c r="J18" s="17" t="s">
        <v>331</v>
      </c>
      <c r="K18" s="18" t="s">
        <v>362</v>
      </c>
      <c r="L18" s="19">
        <v>0</v>
      </c>
      <c r="M18" s="16" t="str">
        <f>DEC2HEX(O18,3)</f>
        <v>003</v>
      </c>
      <c r="N18" s="16" t="str">
        <f>_xlfn.CONCAT(G18," ",H18," ",I18," ",J18," ",K18," ",L18," ",M18)</f>
        <v>GL 01 00 01 B0 0 003</v>
      </c>
      <c r="O18" s="14">
        <v>3</v>
      </c>
      <c r="P18" s="11" t="s">
        <v>3</v>
      </c>
    </row>
    <row r="19" spans="1:16" s="12" customFormat="1" ht="15.75">
      <c r="A19" s="26" t="s">
        <v>365</v>
      </c>
      <c r="B19" s="14" t="s">
        <v>360</v>
      </c>
      <c r="C19" s="14">
        <v>2</v>
      </c>
      <c r="D19" s="15" t="s">
        <v>366</v>
      </c>
      <c r="E19" s="15" t="s">
        <v>88</v>
      </c>
      <c r="F19" s="16" t="s">
        <v>329</v>
      </c>
      <c r="G19" s="16" t="s">
        <v>330</v>
      </c>
      <c r="H19" s="16" t="str">
        <f>""&amp;MID(A19,4,2)</f>
        <v>01</v>
      </c>
      <c r="I19" s="17" t="s">
        <v>319</v>
      </c>
      <c r="J19" s="17" t="s">
        <v>420</v>
      </c>
      <c r="K19" s="18" t="s">
        <v>362</v>
      </c>
      <c r="L19" s="19">
        <v>0</v>
      </c>
      <c r="M19" s="16" t="str">
        <f>DEC2HEX(O19,3)</f>
        <v>003</v>
      </c>
      <c r="N19" s="16" t="str">
        <f>_xlfn.CONCAT(G19," ",H19," ",I19," ",J19," ",K19," ",L19," ",M19)</f>
        <v>GL 01 00 02 B0 0 003</v>
      </c>
      <c r="O19" s="14">
        <v>3</v>
      </c>
      <c r="P19" s="11" t="s">
        <v>3</v>
      </c>
    </row>
    <row r="20" spans="1:16" s="12" customFormat="1" ht="15.75">
      <c r="A20" s="26" t="s">
        <v>365</v>
      </c>
      <c r="B20" s="14" t="s">
        <v>360</v>
      </c>
      <c r="C20" s="14">
        <v>3</v>
      </c>
      <c r="D20" s="15" t="s">
        <v>366</v>
      </c>
      <c r="E20" s="15" t="s">
        <v>91</v>
      </c>
      <c r="F20" s="16" t="s">
        <v>329</v>
      </c>
      <c r="G20" s="16" t="s">
        <v>330</v>
      </c>
      <c r="H20" s="16" t="str">
        <f>""&amp;MID(A20,4,2)</f>
        <v>01</v>
      </c>
      <c r="I20" s="17" t="s">
        <v>319</v>
      </c>
      <c r="J20" s="17" t="s">
        <v>443</v>
      </c>
      <c r="K20" s="18" t="s">
        <v>362</v>
      </c>
      <c r="L20" s="19">
        <v>0</v>
      </c>
      <c r="M20" s="16" t="str">
        <f>DEC2HEX(O20,3)</f>
        <v>003</v>
      </c>
      <c r="N20" s="16" t="str">
        <f>_xlfn.CONCAT(G20," ",H20," ",I20," ",J20," ",K20," ",L20," ",M20)</f>
        <v>GL 01 00 03 B0 0 003</v>
      </c>
      <c r="O20" s="14">
        <v>3</v>
      </c>
      <c r="P20" s="11" t="s">
        <v>3</v>
      </c>
    </row>
    <row r="21" spans="1:16" s="12" customFormat="1" ht="15.75">
      <c r="A21" s="26" t="s">
        <v>365</v>
      </c>
      <c r="B21" s="14" t="s">
        <v>360</v>
      </c>
      <c r="C21" s="14">
        <v>4</v>
      </c>
      <c r="D21" s="15" t="s">
        <v>367</v>
      </c>
      <c r="E21" s="15" t="s">
        <v>94</v>
      </c>
      <c r="F21" s="16" t="s">
        <v>329</v>
      </c>
      <c r="G21" s="16" t="s">
        <v>330</v>
      </c>
      <c r="H21" s="16" t="str">
        <f>""&amp;MID(A21,4,2)</f>
        <v>01</v>
      </c>
      <c r="I21" s="17" t="s">
        <v>319</v>
      </c>
      <c r="J21" s="17" t="s">
        <v>331</v>
      </c>
      <c r="K21" s="18" t="s">
        <v>362</v>
      </c>
      <c r="L21" s="19" t="s">
        <v>368</v>
      </c>
      <c r="M21" s="16" t="str">
        <f>DEC2HEX(O21,3)</f>
        <v>004</v>
      </c>
      <c r="N21" s="16" t="str">
        <f>_xlfn.CONCAT(G21," ",H21," ",I21," ",J21," ",K21," ",L21," ",M21)</f>
        <v>GL 01 00 01 B0 A 004</v>
      </c>
      <c r="O21" s="14">
        <v>4</v>
      </c>
      <c r="P21" s="11" t="s">
        <v>3</v>
      </c>
    </row>
    <row r="22" spans="1:16" s="12" customFormat="1" ht="15.75">
      <c r="A22" s="26" t="s">
        <v>365</v>
      </c>
      <c r="B22" s="14" t="s">
        <v>360</v>
      </c>
      <c r="C22" s="14">
        <v>5</v>
      </c>
      <c r="D22" s="15" t="s">
        <v>367</v>
      </c>
      <c r="E22" s="15" t="s">
        <v>96</v>
      </c>
      <c r="F22" s="16" t="s">
        <v>329</v>
      </c>
      <c r="G22" s="16" t="s">
        <v>330</v>
      </c>
      <c r="H22" s="16" t="str">
        <f>""&amp;MID(A22,4,2)</f>
        <v>01</v>
      </c>
      <c r="I22" s="17" t="s">
        <v>319</v>
      </c>
      <c r="J22" s="17" t="s">
        <v>420</v>
      </c>
      <c r="K22" s="18" t="s">
        <v>362</v>
      </c>
      <c r="L22" s="19" t="s">
        <v>368</v>
      </c>
      <c r="M22" s="16" t="str">
        <f>DEC2HEX(O22,3)</f>
        <v>004</v>
      </c>
      <c r="N22" s="16" t="str">
        <f>_xlfn.CONCAT(G22," ",H22," ",I22," ",J22," ",K22," ",L22," ",M22)</f>
        <v>GL 01 00 02 B0 A 004</v>
      </c>
      <c r="O22" s="14">
        <v>4</v>
      </c>
      <c r="P22" s="11" t="s">
        <v>3</v>
      </c>
    </row>
    <row r="23" spans="1:16" s="12" customFormat="1" ht="15.75">
      <c r="A23" s="26" t="s">
        <v>365</v>
      </c>
      <c r="B23" s="14" t="s">
        <v>360</v>
      </c>
      <c r="C23" s="14">
        <v>6</v>
      </c>
      <c r="D23" s="15" t="s">
        <v>367</v>
      </c>
      <c r="E23" s="15" t="s">
        <v>98</v>
      </c>
      <c r="F23" s="16" t="s">
        <v>329</v>
      </c>
      <c r="G23" s="16" t="s">
        <v>330</v>
      </c>
      <c r="H23" s="16" t="str">
        <f>""&amp;MID(A23,4,2)</f>
        <v>01</v>
      </c>
      <c r="I23" s="17" t="s">
        <v>319</v>
      </c>
      <c r="J23" s="17" t="s">
        <v>443</v>
      </c>
      <c r="K23" s="18" t="s">
        <v>362</v>
      </c>
      <c r="L23" s="19" t="s">
        <v>368</v>
      </c>
      <c r="M23" s="16" t="str">
        <f>DEC2HEX(O23,3)</f>
        <v>004</v>
      </c>
      <c r="N23" s="16" t="str">
        <f>_xlfn.CONCAT(G23," ",H23," ",I23," ",J23," ",K23," ",L23," ",M23)</f>
        <v>GL 01 00 03 B0 A 004</v>
      </c>
      <c r="O23" s="14">
        <v>4</v>
      </c>
      <c r="P23" s="11" t="s">
        <v>3</v>
      </c>
    </row>
    <row r="24" spans="1:16" s="12" customFormat="1" ht="15.75">
      <c r="A24" s="26" t="s">
        <v>369</v>
      </c>
      <c r="B24" s="14" t="s">
        <v>360</v>
      </c>
      <c r="C24" s="14">
        <v>1</v>
      </c>
      <c r="D24" s="15" t="s">
        <v>370</v>
      </c>
      <c r="E24" s="15" t="s">
        <v>102</v>
      </c>
      <c r="F24" s="16" t="s">
        <v>329</v>
      </c>
      <c r="G24" s="16" t="s">
        <v>330</v>
      </c>
      <c r="H24" s="16" t="str">
        <f>""&amp;MID(A24,4,2)</f>
        <v>01</v>
      </c>
      <c r="I24" s="17" t="s">
        <v>319</v>
      </c>
      <c r="J24" s="17" t="s">
        <v>331</v>
      </c>
      <c r="K24" s="18" t="s">
        <v>362</v>
      </c>
      <c r="L24" s="19">
        <v>0</v>
      </c>
      <c r="M24" s="16" t="str">
        <f>DEC2HEX(O24,3)</f>
        <v>005</v>
      </c>
      <c r="N24" s="16" t="str">
        <f>_xlfn.CONCAT(G24," ",H24," ",I24," ",J24," ",K24," ",L24," ",M24)</f>
        <v>GL 01 00 01 B0 0 005</v>
      </c>
      <c r="O24" s="14">
        <v>5</v>
      </c>
      <c r="P24" s="11" t="s">
        <v>3</v>
      </c>
    </row>
    <row r="25" spans="1:16" s="12" customFormat="1" ht="15.75">
      <c r="A25" s="26" t="s">
        <v>369</v>
      </c>
      <c r="B25" s="14" t="s">
        <v>360</v>
      </c>
      <c r="C25" s="14">
        <v>2</v>
      </c>
      <c r="D25" s="15" t="s">
        <v>371</v>
      </c>
      <c r="E25" s="15" t="s">
        <v>104</v>
      </c>
      <c r="F25" s="16" t="s">
        <v>329</v>
      </c>
      <c r="G25" s="16" t="s">
        <v>330</v>
      </c>
      <c r="H25" s="16" t="str">
        <f>""&amp;MID(A25,4,2)</f>
        <v>01</v>
      </c>
      <c r="I25" s="17" t="s">
        <v>319</v>
      </c>
      <c r="J25" s="17" t="s">
        <v>331</v>
      </c>
      <c r="K25" s="18" t="s">
        <v>362</v>
      </c>
      <c r="L25" s="19">
        <v>0</v>
      </c>
      <c r="M25" s="16" t="str">
        <f>DEC2HEX(O25,3)</f>
        <v>006</v>
      </c>
      <c r="N25" s="16" t="str">
        <f>_xlfn.CONCAT(G25," ",H25," ",I25," ",J25," ",K25," ",L25," ",M25)</f>
        <v>GL 01 00 01 B0 0 006</v>
      </c>
      <c r="O25" s="14">
        <v>6</v>
      </c>
      <c r="P25" s="11" t="s">
        <v>3</v>
      </c>
    </row>
    <row r="26" spans="1:16" s="12" customFormat="1" ht="15.75">
      <c r="A26" s="26" t="s">
        <v>369</v>
      </c>
      <c r="B26" s="14" t="s">
        <v>360</v>
      </c>
      <c r="C26" s="14">
        <v>3</v>
      </c>
      <c r="D26" s="15" t="s">
        <v>370</v>
      </c>
      <c r="E26" s="15" t="s">
        <v>106</v>
      </c>
      <c r="F26" s="16" t="s">
        <v>329</v>
      </c>
      <c r="G26" s="16" t="s">
        <v>330</v>
      </c>
      <c r="H26" s="16" t="str">
        <f>""&amp;MID(A26,4,2)</f>
        <v>01</v>
      </c>
      <c r="I26" s="17" t="s">
        <v>319</v>
      </c>
      <c r="J26" s="17" t="s">
        <v>420</v>
      </c>
      <c r="K26" s="18" t="s">
        <v>362</v>
      </c>
      <c r="L26" s="19">
        <v>0</v>
      </c>
      <c r="M26" s="16" t="str">
        <f>DEC2HEX(O26,3)</f>
        <v>005</v>
      </c>
      <c r="N26" s="16" t="str">
        <f>_xlfn.CONCAT(G26," ",H26," ",I26," ",J26," ",K26," ",L26," ",M26)</f>
        <v>GL 01 00 02 B0 0 005</v>
      </c>
      <c r="O26" s="14">
        <v>5</v>
      </c>
      <c r="P26" s="11" t="s">
        <v>3</v>
      </c>
    </row>
    <row r="27" spans="1:16" s="12" customFormat="1" ht="15.75">
      <c r="A27" s="26" t="s">
        <v>369</v>
      </c>
      <c r="B27" s="14" t="s">
        <v>360</v>
      </c>
      <c r="C27" s="14">
        <v>4</v>
      </c>
      <c r="D27" s="15" t="s">
        <v>371</v>
      </c>
      <c r="E27" s="15" t="s">
        <v>108</v>
      </c>
      <c r="F27" s="16" t="s">
        <v>329</v>
      </c>
      <c r="G27" s="16" t="s">
        <v>330</v>
      </c>
      <c r="H27" s="16" t="str">
        <f>""&amp;MID(A27,4,2)</f>
        <v>01</v>
      </c>
      <c r="I27" s="17" t="s">
        <v>319</v>
      </c>
      <c r="J27" s="17" t="s">
        <v>420</v>
      </c>
      <c r="K27" s="18" t="s">
        <v>362</v>
      </c>
      <c r="L27" s="19">
        <v>0</v>
      </c>
      <c r="M27" s="16" t="str">
        <f>DEC2HEX(O27,3)</f>
        <v>006</v>
      </c>
      <c r="N27" s="16" t="str">
        <f>_xlfn.CONCAT(G27," ",H27," ",I27," ",J27," ",K27," ",L27," ",M27)</f>
        <v>GL 01 00 02 B0 0 006</v>
      </c>
      <c r="O27" s="14">
        <v>6</v>
      </c>
      <c r="P27" s="11" t="s">
        <v>3</v>
      </c>
    </row>
    <row r="28" spans="1:16" s="12" customFormat="1" ht="15.75">
      <c r="A28" s="26" t="s">
        <v>369</v>
      </c>
      <c r="B28" s="14" t="s">
        <v>360</v>
      </c>
      <c r="C28" s="14">
        <v>5</v>
      </c>
      <c r="D28" s="15" t="s">
        <v>370</v>
      </c>
      <c r="E28" s="15" t="s">
        <v>110</v>
      </c>
      <c r="F28" s="16" t="s">
        <v>329</v>
      </c>
      <c r="G28" s="16" t="s">
        <v>330</v>
      </c>
      <c r="H28" s="16" t="str">
        <f>""&amp;MID(A28,4,2)</f>
        <v>01</v>
      </c>
      <c r="I28" s="17" t="s">
        <v>319</v>
      </c>
      <c r="J28" s="17" t="s">
        <v>443</v>
      </c>
      <c r="K28" s="18" t="s">
        <v>362</v>
      </c>
      <c r="L28" s="19">
        <v>0</v>
      </c>
      <c r="M28" s="16" t="str">
        <f>DEC2HEX(O28,3)</f>
        <v>005</v>
      </c>
      <c r="N28" s="16" t="str">
        <f>_xlfn.CONCAT(G28," ",H28," ",I28," ",J28," ",K28," ",L28," ",M28)</f>
        <v>GL 01 00 03 B0 0 005</v>
      </c>
      <c r="O28" s="14">
        <v>5</v>
      </c>
      <c r="P28" s="11" t="s">
        <v>3</v>
      </c>
    </row>
    <row r="29" spans="1:16" s="12" customFormat="1" ht="15.75">
      <c r="A29" s="26" t="s">
        <v>369</v>
      </c>
      <c r="B29" s="14" t="s">
        <v>360</v>
      </c>
      <c r="C29" s="14">
        <v>6</v>
      </c>
      <c r="D29" s="15" t="s">
        <v>371</v>
      </c>
      <c r="E29" s="15" t="s">
        <v>112</v>
      </c>
      <c r="F29" s="16" t="s">
        <v>329</v>
      </c>
      <c r="G29" s="16" t="s">
        <v>330</v>
      </c>
      <c r="H29" s="16" t="str">
        <f>""&amp;MID(A29,4,2)</f>
        <v>01</v>
      </c>
      <c r="I29" s="17" t="s">
        <v>319</v>
      </c>
      <c r="J29" s="17" t="s">
        <v>443</v>
      </c>
      <c r="K29" s="18" t="s">
        <v>362</v>
      </c>
      <c r="L29" s="19">
        <v>0</v>
      </c>
      <c r="M29" s="16" t="str">
        <f>DEC2HEX(O29,3)</f>
        <v>006</v>
      </c>
      <c r="N29" s="16" t="str">
        <f>_xlfn.CONCAT(G29," ",H29," ",I29," ",J29," ",K29," ",L29," ",M29)</f>
        <v>GL 01 00 03 B0 0 006</v>
      </c>
      <c r="O29" s="14">
        <v>6</v>
      </c>
      <c r="P29" s="11" t="s">
        <v>3</v>
      </c>
    </row>
    <row r="30" spans="1:16" s="12" customFormat="1" ht="15.75">
      <c r="A30" s="26" t="s">
        <v>369</v>
      </c>
      <c r="B30" s="14" t="s">
        <v>360</v>
      </c>
      <c r="C30" s="14">
        <v>7</v>
      </c>
      <c r="D30" s="15" t="s">
        <v>361</v>
      </c>
      <c r="E30" s="15" t="s">
        <v>114</v>
      </c>
      <c r="F30" s="16" t="s">
        <v>329</v>
      </c>
      <c r="G30" s="16" t="s">
        <v>330</v>
      </c>
      <c r="H30" s="16" t="str">
        <f>""&amp;MID(A30,4,2)</f>
        <v>01</v>
      </c>
      <c r="I30" s="17" t="s">
        <v>319</v>
      </c>
      <c r="J30" s="17" t="s">
        <v>420</v>
      </c>
      <c r="K30" s="18" t="s">
        <v>362</v>
      </c>
      <c r="L30" s="19">
        <v>0</v>
      </c>
      <c r="M30" s="16" t="str">
        <f>DEC2HEX(O30,3)</f>
        <v>001</v>
      </c>
      <c r="N30" s="16" t="str">
        <f>_xlfn.CONCAT(G30," ",H30," ",I30," ",J30," ",K30," ",L30," ",M30)</f>
        <v>GL 01 00 02 B0 0 001</v>
      </c>
      <c r="O30" s="14">
        <v>1</v>
      </c>
      <c r="P30" s="11" t="s">
        <v>3</v>
      </c>
    </row>
    <row r="31" spans="1:16" s="12" customFormat="1" ht="15.75">
      <c r="A31" s="26" t="s">
        <v>369</v>
      </c>
      <c r="B31" s="14" t="s">
        <v>360</v>
      </c>
      <c r="C31" s="14">
        <v>8</v>
      </c>
      <c r="D31" s="15" t="s">
        <v>361</v>
      </c>
      <c r="E31" s="15" t="s">
        <v>115</v>
      </c>
      <c r="F31" s="16" t="s">
        <v>329</v>
      </c>
      <c r="G31" s="16" t="s">
        <v>330</v>
      </c>
      <c r="H31" s="16" t="str">
        <f>""&amp;MID(A31,4,2)</f>
        <v>01</v>
      </c>
      <c r="I31" s="17" t="s">
        <v>319</v>
      </c>
      <c r="J31" s="17" t="s">
        <v>443</v>
      </c>
      <c r="K31" s="18" t="s">
        <v>362</v>
      </c>
      <c r="L31" s="19">
        <v>0</v>
      </c>
      <c r="M31" s="16" t="str">
        <f>DEC2HEX(O31,3)</f>
        <v>001</v>
      </c>
      <c r="N31" s="16" t="str">
        <f>_xlfn.CONCAT(G31," ",H31," ",I31," ",J31," ",K31," ",L31," ",M31)</f>
        <v>GL 01 00 03 B0 0 001</v>
      </c>
      <c r="O31" s="14">
        <v>1</v>
      </c>
      <c r="P31" s="11" t="s">
        <v>3</v>
      </c>
    </row>
    <row r="32" spans="1:16" s="12" customFormat="1" ht="15.75">
      <c r="A32" s="26" t="s">
        <v>372</v>
      </c>
      <c r="B32" s="14" t="s">
        <v>363</v>
      </c>
      <c r="C32" s="14">
        <v>1</v>
      </c>
      <c r="D32" s="15" t="s">
        <v>373</v>
      </c>
      <c r="E32" s="15" t="s">
        <v>118</v>
      </c>
      <c r="F32" s="16" t="s">
        <v>329</v>
      </c>
      <c r="G32" s="16" t="s">
        <v>330</v>
      </c>
      <c r="H32" s="16" t="str">
        <f>""&amp;MID(A32,4,2)</f>
        <v>01</v>
      </c>
      <c r="I32" s="17" t="s">
        <v>319</v>
      </c>
      <c r="J32" s="17" t="s">
        <v>331</v>
      </c>
      <c r="K32" s="18" t="s">
        <v>362</v>
      </c>
      <c r="L32" s="19">
        <v>0</v>
      </c>
      <c r="M32" s="16" t="str">
        <f>DEC2HEX(O32,3)</f>
        <v>007</v>
      </c>
      <c r="N32" s="16" t="str">
        <f>_xlfn.CONCAT(G32," ",H32," ",I32," ",J32," ",K32," ",L32," ",M32)</f>
        <v>GL 01 00 01 B0 0 007</v>
      </c>
      <c r="O32" s="14">
        <v>7</v>
      </c>
      <c r="P32" s="11" t="s">
        <v>3</v>
      </c>
    </row>
    <row r="33" spans="1:16" s="12" customFormat="1" ht="15.75">
      <c r="A33" s="26" t="s">
        <v>372</v>
      </c>
      <c r="B33" s="14" t="s">
        <v>363</v>
      </c>
      <c r="C33" s="14">
        <v>2</v>
      </c>
      <c r="D33" s="15" t="s">
        <v>374</v>
      </c>
      <c r="E33" s="15" t="s">
        <v>119</v>
      </c>
      <c r="F33" s="16" t="s">
        <v>329</v>
      </c>
      <c r="G33" s="16" t="s">
        <v>330</v>
      </c>
      <c r="H33" s="16" t="str">
        <f>""&amp;MID(A33,4,2)</f>
        <v>01</v>
      </c>
      <c r="I33" s="17" t="s">
        <v>319</v>
      </c>
      <c r="J33" s="17" t="s">
        <v>331</v>
      </c>
      <c r="K33" s="18" t="s">
        <v>362</v>
      </c>
      <c r="L33" s="19">
        <v>0</v>
      </c>
      <c r="M33" s="16" t="str">
        <f>DEC2HEX(O33,3)</f>
        <v>008</v>
      </c>
      <c r="N33" s="16" t="str">
        <f>_xlfn.CONCAT(G33," ",H33," ",I33," ",J33," ",K33," ",L33," ",M33)</f>
        <v>GL 01 00 01 B0 0 008</v>
      </c>
      <c r="O33" s="14">
        <v>8</v>
      </c>
      <c r="P33" s="11" t="s">
        <v>3</v>
      </c>
    </row>
    <row r="34" spans="1:16" s="12" customFormat="1" ht="15.75">
      <c r="A34" s="26" t="s">
        <v>372</v>
      </c>
      <c r="B34" s="14" t="s">
        <v>363</v>
      </c>
      <c r="C34" s="14">
        <v>3</v>
      </c>
      <c r="D34" s="15" t="s">
        <v>373</v>
      </c>
      <c r="E34" s="15" t="s">
        <v>120</v>
      </c>
      <c r="F34" s="16" t="s">
        <v>329</v>
      </c>
      <c r="G34" s="16" t="s">
        <v>330</v>
      </c>
      <c r="H34" s="16" t="str">
        <f>""&amp;MID(A34,4,2)</f>
        <v>01</v>
      </c>
      <c r="I34" s="17" t="s">
        <v>319</v>
      </c>
      <c r="J34" s="17" t="s">
        <v>420</v>
      </c>
      <c r="K34" s="18" t="s">
        <v>362</v>
      </c>
      <c r="L34" s="19">
        <v>0</v>
      </c>
      <c r="M34" s="16" t="str">
        <f>DEC2HEX(O34,3)</f>
        <v>007</v>
      </c>
      <c r="N34" s="16" t="str">
        <f>_xlfn.CONCAT(G34," ",H34," ",I34," ",J34," ",K34," ",L34," ",M34)</f>
        <v>GL 01 00 02 B0 0 007</v>
      </c>
      <c r="O34" s="14">
        <v>7</v>
      </c>
      <c r="P34" s="11" t="s">
        <v>3</v>
      </c>
    </row>
    <row r="35" spans="1:16" s="12" customFormat="1" ht="15.75">
      <c r="A35" s="26" t="s">
        <v>372</v>
      </c>
      <c r="B35" s="14" t="s">
        <v>363</v>
      </c>
      <c r="C35" s="14">
        <v>4</v>
      </c>
      <c r="D35" s="15" t="s">
        <v>374</v>
      </c>
      <c r="E35" s="15" t="s">
        <v>121</v>
      </c>
      <c r="F35" s="16" t="s">
        <v>329</v>
      </c>
      <c r="G35" s="16" t="s">
        <v>330</v>
      </c>
      <c r="H35" s="16" t="str">
        <f>""&amp;MID(A35,4,2)</f>
        <v>01</v>
      </c>
      <c r="I35" s="17" t="s">
        <v>319</v>
      </c>
      <c r="J35" s="17" t="s">
        <v>420</v>
      </c>
      <c r="K35" s="18" t="s">
        <v>362</v>
      </c>
      <c r="L35" s="19">
        <v>0</v>
      </c>
      <c r="M35" s="16" t="str">
        <f>DEC2HEX(O35,3)</f>
        <v>008</v>
      </c>
      <c r="N35" s="16" t="str">
        <f>_xlfn.CONCAT(G35," ",H35," ",I35," ",J35," ",K35," ",L35," ",M35)</f>
        <v>GL 01 00 02 B0 0 008</v>
      </c>
      <c r="O35" s="14">
        <v>8</v>
      </c>
      <c r="P35" s="11" t="s">
        <v>3</v>
      </c>
    </row>
    <row r="36" spans="1:16" s="12" customFormat="1" ht="15.75">
      <c r="A36" s="26" t="s">
        <v>372</v>
      </c>
      <c r="B36" s="14" t="s">
        <v>363</v>
      </c>
      <c r="C36" s="14">
        <v>5</v>
      </c>
      <c r="D36" s="15" t="s">
        <v>373</v>
      </c>
      <c r="E36" s="15" t="s">
        <v>123</v>
      </c>
      <c r="F36" s="16" t="s">
        <v>329</v>
      </c>
      <c r="G36" s="16" t="s">
        <v>330</v>
      </c>
      <c r="H36" s="16" t="str">
        <f>""&amp;MID(A36,4,2)</f>
        <v>01</v>
      </c>
      <c r="I36" s="17" t="s">
        <v>319</v>
      </c>
      <c r="J36" s="17" t="s">
        <v>443</v>
      </c>
      <c r="K36" s="18" t="s">
        <v>362</v>
      </c>
      <c r="L36" s="19">
        <v>0</v>
      </c>
      <c r="M36" s="16" t="str">
        <f>DEC2HEX(O36,3)</f>
        <v>007</v>
      </c>
      <c r="N36" s="16" t="str">
        <f>_xlfn.CONCAT(G36," ",H36," ",I36," ",J36," ",K36," ",L36," ",M36)</f>
        <v>GL 01 00 03 B0 0 007</v>
      </c>
      <c r="O36" s="14">
        <v>7</v>
      </c>
      <c r="P36" s="11" t="s">
        <v>3</v>
      </c>
    </row>
    <row r="37" spans="1:16" s="12" customFormat="1" ht="15.75">
      <c r="A37" s="26" t="s">
        <v>372</v>
      </c>
      <c r="B37" s="14" t="s">
        <v>363</v>
      </c>
      <c r="C37" s="14">
        <v>6</v>
      </c>
      <c r="D37" s="15" t="s">
        <v>374</v>
      </c>
      <c r="E37" s="15" t="s">
        <v>125</v>
      </c>
      <c r="F37" s="16" t="s">
        <v>329</v>
      </c>
      <c r="G37" s="16" t="s">
        <v>330</v>
      </c>
      <c r="H37" s="16" t="str">
        <f>""&amp;MID(A37,4,2)</f>
        <v>01</v>
      </c>
      <c r="I37" s="17" t="s">
        <v>319</v>
      </c>
      <c r="J37" s="17" t="s">
        <v>443</v>
      </c>
      <c r="K37" s="18" t="s">
        <v>362</v>
      </c>
      <c r="L37" s="19">
        <v>0</v>
      </c>
      <c r="M37" s="16" t="str">
        <f>DEC2HEX(O37,3)</f>
        <v>008</v>
      </c>
      <c r="N37" s="16" t="str">
        <f>_xlfn.CONCAT(G37," ",H37," ",I37," ",J37," ",K37," ",L37," ",M37)</f>
        <v>GL 01 00 03 B0 0 008</v>
      </c>
      <c r="O37" s="14">
        <v>8</v>
      </c>
      <c r="P37" s="11" t="s">
        <v>3</v>
      </c>
    </row>
    <row r="38" spans="1:16" s="12" customFormat="1" ht="15.75">
      <c r="A38" s="26" t="s">
        <v>372</v>
      </c>
      <c r="B38" s="14" t="s">
        <v>363</v>
      </c>
      <c r="C38" s="14">
        <v>7</v>
      </c>
      <c r="D38" s="15" t="s">
        <v>364</v>
      </c>
      <c r="E38" s="15" t="s">
        <v>127</v>
      </c>
      <c r="F38" s="16" t="s">
        <v>329</v>
      </c>
      <c r="G38" s="16" t="s">
        <v>330</v>
      </c>
      <c r="H38" s="16" t="str">
        <f>""&amp;MID(A38,4,2)</f>
        <v>01</v>
      </c>
      <c r="I38" s="17" t="s">
        <v>319</v>
      </c>
      <c r="J38" s="17" t="s">
        <v>420</v>
      </c>
      <c r="K38" s="18" t="s">
        <v>362</v>
      </c>
      <c r="L38" s="19">
        <v>0</v>
      </c>
      <c r="M38" s="16" t="str">
        <f>DEC2HEX(O38,3)</f>
        <v>002</v>
      </c>
      <c r="N38" s="16" t="str">
        <f>_xlfn.CONCAT(G38," ",H38," ",I38," ",J38," ",K38," ",L38," ",M38)</f>
        <v>GL 01 00 02 B0 0 002</v>
      </c>
      <c r="O38" s="14">
        <v>2</v>
      </c>
      <c r="P38" s="11" t="s">
        <v>3</v>
      </c>
    </row>
    <row r="39" spans="1:16" s="12" customFormat="1" ht="15.75">
      <c r="A39" s="26" t="s">
        <v>372</v>
      </c>
      <c r="B39" s="14" t="s">
        <v>363</v>
      </c>
      <c r="C39" s="14">
        <v>8</v>
      </c>
      <c r="D39" s="15" t="s">
        <v>364</v>
      </c>
      <c r="E39" s="15" t="s">
        <v>129</v>
      </c>
      <c r="F39" s="16" t="s">
        <v>329</v>
      </c>
      <c r="G39" s="16" t="s">
        <v>330</v>
      </c>
      <c r="H39" s="16" t="str">
        <f>""&amp;MID(A39,4,2)</f>
        <v>01</v>
      </c>
      <c r="I39" s="17" t="s">
        <v>319</v>
      </c>
      <c r="J39" s="17" t="s">
        <v>443</v>
      </c>
      <c r="K39" s="18" t="s">
        <v>362</v>
      </c>
      <c r="L39" s="19">
        <v>0</v>
      </c>
      <c r="M39" s="16" t="str">
        <f>DEC2HEX(O39,3)</f>
        <v>002</v>
      </c>
      <c r="N39" s="16" t="str">
        <f>_xlfn.CONCAT(G39," ",H39," ",I39," ",J39," ",K39," ",L39," ",M39)</f>
        <v>GL 01 00 03 B0 0 002</v>
      </c>
      <c r="O39" s="14">
        <v>2</v>
      </c>
      <c r="P39" s="11" t="s">
        <v>3</v>
      </c>
    </row>
    <row r="40" spans="1:16" s="12" customFormat="1" ht="15.75">
      <c r="A40" s="26" t="s">
        <v>466</v>
      </c>
      <c r="B40" s="14" t="s">
        <v>327</v>
      </c>
      <c r="C40" s="14">
        <v>1</v>
      </c>
      <c r="D40" s="15" t="s">
        <v>469</v>
      </c>
      <c r="E40" s="15" t="s">
        <v>131</v>
      </c>
      <c r="F40" s="16" t="s">
        <v>329</v>
      </c>
      <c r="G40" s="16" t="s">
        <v>330</v>
      </c>
      <c r="H40" s="16" t="str">
        <f>""&amp;MID(A40,4,2)</f>
        <v>02</v>
      </c>
      <c r="I40" s="17" t="s">
        <v>319</v>
      </c>
      <c r="J40" s="17" t="s">
        <v>331</v>
      </c>
      <c r="K40" s="18" t="s">
        <v>467</v>
      </c>
      <c r="L40" s="19">
        <v>0</v>
      </c>
      <c r="M40" s="16" t="str">
        <f>DEC2HEX(O40,3)</f>
        <v>004</v>
      </c>
      <c r="N40" s="16" t="str">
        <f>_xlfn.CONCAT(G40," ",H40," ",I40," ",J40," ",K40," ",L40," ",M40)</f>
        <v>GL 02 00 01 B2 0 004</v>
      </c>
      <c r="O40" s="14">
        <v>4</v>
      </c>
      <c r="P40" s="11" t="s">
        <v>468</v>
      </c>
    </row>
    <row r="41" spans="1:16" s="12" customFormat="1" ht="15.75">
      <c r="A41" s="26" t="s">
        <v>466</v>
      </c>
      <c r="B41" s="14" t="s">
        <v>340</v>
      </c>
      <c r="C41" s="14">
        <v>1</v>
      </c>
      <c r="D41" s="15" t="s">
        <v>470</v>
      </c>
      <c r="E41" s="15" t="s">
        <v>143</v>
      </c>
      <c r="F41" s="16" t="s">
        <v>329</v>
      </c>
      <c r="G41" s="16" t="s">
        <v>330</v>
      </c>
      <c r="H41" s="16" t="str">
        <f>""&amp;MID(A41,4,2)</f>
        <v>02</v>
      </c>
      <c r="I41" s="17" t="s">
        <v>319</v>
      </c>
      <c r="J41" s="17" t="s">
        <v>331</v>
      </c>
      <c r="K41" s="18" t="s">
        <v>467</v>
      </c>
      <c r="L41" s="19">
        <v>0</v>
      </c>
      <c r="M41" s="16" t="str">
        <f>DEC2HEX(O41,3)</f>
        <v>005</v>
      </c>
      <c r="N41" s="16" t="str">
        <f>_xlfn.CONCAT(G41," ",H41," ",I41," ",J41," ",K41," ",L41," ",M41)</f>
        <v>GL 02 00 01 B2 0 005</v>
      </c>
      <c r="O41" s="14">
        <v>5</v>
      </c>
      <c r="P41" s="11" t="s">
        <v>468</v>
      </c>
    </row>
    <row r="42" spans="1:16" s="12" customFormat="1" ht="15.75">
      <c r="A42" s="26" t="s">
        <v>466</v>
      </c>
      <c r="B42" s="14" t="s">
        <v>363</v>
      </c>
      <c r="C42" s="14">
        <v>1</v>
      </c>
      <c r="D42" s="15" t="s">
        <v>364</v>
      </c>
      <c r="E42" s="15" t="s">
        <v>146</v>
      </c>
      <c r="F42" s="16" t="s">
        <v>329</v>
      </c>
      <c r="G42" s="16" t="s">
        <v>330</v>
      </c>
      <c r="H42" s="16" t="str">
        <f>""&amp;MID(A42,4,2)</f>
        <v>02</v>
      </c>
      <c r="I42" s="17" t="s">
        <v>319</v>
      </c>
      <c r="J42" s="17" t="s">
        <v>331</v>
      </c>
      <c r="K42" s="18" t="s">
        <v>467</v>
      </c>
      <c r="L42" s="19">
        <v>0</v>
      </c>
      <c r="M42" s="16" t="str">
        <f>DEC2HEX(O42,3)</f>
        <v>006</v>
      </c>
      <c r="N42" s="16" t="str">
        <f>_xlfn.CONCAT(G42," ",H42," ",I42," ",J42," ",K42," ",L42," ",M42)</f>
        <v>GL 02 00 01 B2 0 006</v>
      </c>
      <c r="O42" s="14">
        <v>6</v>
      </c>
      <c r="P42" s="11" t="s">
        <v>468</v>
      </c>
    </row>
    <row r="43" spans="1:16" s="12" customFormat="1" ht="15.75">
      <c r="A43" s="26" t="s">
        <v>466</v>
      </c>
      <c r="B43" s="14" t="s">
        <v>327</v>
      </c>
      <c r="C43" s="14">
        <v>2</v>
      </c>
      <c r="D43" s="15" t="s">
        <v>469</v>
      </c>
      <c r="E43" s="15" t="s">
        <v>135</v>
      </c>
      <c r="F43" s="16" t="s">
        <v>329</v>
      </c>
      <c r="G43" s="16" t="s">
        <v>330</v>
      </c>
      <c r="H43" s="16" t="str">
        <f>""&amp;MID(A43,4,2)</f>
        <v>02</v>
      </c>
      <c r="I43" s="17" t="s">
        <v>319</v>
      </c>
      <c r="J43" s="17" t="s">
        <v>420</v>
      </c>
      <c r="K43" s="18" t="s">
        <v>467</v>
      </c>
      <c r="L43" s="19">
        <v>0</v>
      </c>
      <c r="M43" s="16" t="str">
        <f>DEC2HEX(O43,3)</f>
        <v>004</v>
      </c>
      <c r="N43" s="16" t="str">
        <f>_xlfn.CONCAT(G43," ",H43," ",I43," ",J43," ",K43," ",L43," ",M43)</f>
        <v>GL 02 00 02 B2 0 004</v>
      </c>
      <c r="O43" s="14">
        <v>4</v>
      </c>
      <c r="P43" s="11" t="s">
        <v>468</v>
      </c>
    </row>
    <row r="44" spans="1:16" s="12" customFormat="1" ht="15.75">
      <c r="A44" s="26" t="s">
        <v>466</v>
      </c>
      <c r="B44" s="14" t="s">
        <v>340</v>
      </c>
      <c r="C44" s="14">
        <v>2</v>
      </c>
      <c r="D44" s="15" t="s">
        <v>470</v>
      </c>
      <c r="E44" s="15" t="s">
        <v>144</v>
      </c>
      <c r="F44" s="16" t="s">
        <v>329</v>
      </c>
      <c r="G44" s="16" t="s">
        <v>330</v>
      </c>
      <c r="H44" s="16" t="str">
        <f>""&amp;MID(A44,4,2)</f>
        <v>02</v>
      </c>
      <c r="I44" s="17" t="s">
        <v>319</v>
      </c>
      <c r="J44" s="17" t="s">
        <v>420</v>
      </c>
      <c r="K44" s="18" t="s">
        <v>467</v>
      </c>
      <c r="L44" s="19">
        <v>0</v>
      </c>
      <c r="M44" s="16" t="str">
        <f>DEC2HEX(O44,3)</f>
        <v>005</v>
      </c>
      <c r="N44" s="16" t="str">
        <f>_xlfn.CONCAT(G44," ",H44," ",I44," ",J44," ",K44," ",L44," ",M44)</f>
        <v>GL 02 00 02 B2 0 005</v>
      </c>
      <c r="O44" s="14">
        <v>5</v>
      </c>
      <c r="P44" s="11" t="s">
        <v>468</v>
      </c>
    </row>
    <row r="45" spans="1:16" s="12" customFormat="1" ht="15.75">
      <c r="A45" s="26" t="s">
        <v>466</v>
      </c>
      <c r="B45" s="14" t="s">
        <v>363</v>
      </c>
      <c r="C45" s="14">
        <v>2</v>
      </c>
      <c r="D45" s="15" t="s">
        <v>364</v>
      </c>
      <c r="E45" s="15" t="s">
        <v>147</v>
      </c>
      <c r="F45" s="16" t="s">
        <v>329</v>
      </c>
      <c r="G45" s="16" t="s">
        <v>330</v>
      </c>
      <c r="H45" s="16" t="str">
        <f>""&amp;MID(A45,4,2)</f>
        <v>02</v>
      </c>
      <c r="I45" s="17" t="s">
        <v>319</v>
      </c>
      <c r="J45" s="17" t="s">
        <v>420</v>
      </c>
      <c r="K45" s="18" t="s">
        <v>467</v>
      </c>
      <c r="L45" s="19">
        <v>0</v>
      </c>
      <c r="M45" s="16" t="str">
        <f>DEC2HEX(O45,3)</f>
        <v>006</v>
      </c>
      <c r="N45" s="16" t="str">
        <f>_xlfn.CONCAT(G45," ",H45," ",I45," ",J45," ",K45," ",L45," ",M45)</f>
        <v>GL 02 00 02 B2 0 006</v>
      </c>
      <c r="O45" s="14">
        <v>6</v>
      </c>
      <c r="P45" s="11" t="s">
        <v>468</v>
      </c>
    </row>
    <row r="46" spans="1:16" s="12" customFormat="1" ht="15.75">
      <c r="A46" s="26" t="s">
        <v>466</v>
      </c>
      <c r="B46" s="14" t="s">
        <v>327</v>
      </c>
      <c r="C46" s="14">
        <v>3</v>
      </c>
      <c r="D46" s="15" t="s">
        <v>469</v>
      </c>
      <c r="E46" s="15" t="s">
        <v>137</v>
      </c>
      <c r="F46" s="16" t="s">
        <v>329</v>
      </c>
      <c r="G46" s="16" t="s">
        <v>330</v>
      </c>
      <c r="H46" s="16" t="str">
        <f>""&amp;MID(A46,4,2)</f>
        <v>02</v>
      </c>
      <c r="I46" s="17" t="s">
        <v>319</v>
      </c>
      <c r="J46" s="17" t="s">
        <v>443</v>
      </c>
      <c r="K46" s="18" t="s">
        <v>467</v>
      </c>
      <c r="L46" s="19">
        <v>0</v>
      </c>
      <c r="M46" s="16" t="str">
        <f>DEC2HEX(O46,3)</f>
        <v>004</v>
      </c>
      <c r="N46" s="16" t="str">
        <f>_xlfn.CONCAT(G46," ",H46," ",I46," ",J46," ",K46," ",L46," ",M46)</f>
        <v>GL 02 00 03 B2 0 004</v>
      </c>
      <c r="O46" s="14">
        <v>4</v>
      </c>
      <c r="P46" s="11" t="s">
        <v>468</v>
      </c>
    </row>
    <row r="47" spans="1:16" s="12" customFormat="1" ht="15.75">
      <c r="A47" s="26" t="s">
        <v>466</v>
      </c>
      <c r="B47" s="14" t="s">
        <v>340</v>
      </c>
      <c r="C47" s="14">
        <v>3</v>
      </c>
      <c r="D47" s="15" t="s">
        <v>470</v>
      </c>
      <c r="E47" s="15" t="s">
        <v>145</v>
      </c>
      <c r="F47" s="16" t="s">
        <v>329</v>
      </c>
      <c r="G47" s="16" t="s">
        <v>330</v>
      </c>
      <c r="H47" s="16" t="str">
        <f>""&amp;MID(A47,4,2)</f>
        <v>02</v>
      </c>
      <c r="I47" s="17" t="s">
        <v>319</v>
      </c>
      <c r="J47" s="17" t="s">
        <v>443</v>
      </c>
      <c r="K47" s="18" t="s">
        <v>467</v>
      </c>
      <c r="L47" s="19">
        <v>0</v>
      </c>
      <c r="M47" s="16" t="str">
        <f>DEC2HEX(O47,3)</f>
        <v>005</v>
      </c>
      <c r="N47" s="16" t="str">
        <f>_xlfn.CONCAT(G47," ",H47," ",I47," ",J47," ",K47," ",L47," ",M47)</f>
        <v>GL 02 00 03 B2 0 005</v>
      </c>
      <c r="O47" s="14">
        <v>5</v>
      </c>
      <c r="P47" s="11" t="s">
        <v>468</v>
      </c>
    </row>
    <row r="48" spans="1:16" s="12" customFormat="1" ht="15.75">
      <c r="A48" s="26" t="s">
        <v>466</v>
      </c>
      <c r="B48" s="14" t="s">
        <v>363</v>
      </c>
      <c r="C48" s="14">
        <v>3</v>
      </c>
      <c r="D48" s="15" t="s">
        <v>364</v>
      </c>
      <c r="E48" s="15" t="s">
        <v>148</v>
      </c>
      <c r="F48" s="16" t="s">
        <v>329</v>
      </c>
      <c r="G48" s="16" t="s">
        <v>330</v>
      </c>
      <c r="H48" s="16" t="str">
        <f>""&amp;MID(A48,4,2)</f>
        <v>02</v>
      </c>
      <c r="I48" s="17" t="s">
        <v>319</v>
      </c>
      <c r="J48" s="17" t="s">
        <v>443</v>
      </c>
      <c r="K48" s="18" t="s">
        <v>467</v>
      </c>
      <c r="L48" s="19">
        <v>0</v>
      </c>
      <c r="M48" s="16" t="str">
        <f>DEC2HEX(O48,3)</f>
        <v>006</v>
      </c>
      <c r="N48" s="16" t="str">
        <f>_xlfn.CONCAT(G48," ",H48," ",I48," ",J48," ",K48," ",L48," ",M48)</f>
        <v>GL 02 00 03 B2 0 006</v>
      </c>
      <c r="O48" s="14">
        <v>6</v>
      </c>
      <c r="P48" s="11" t="s">
        <v>468</v>
      </c>
    </row>
    <row r="49" spans="1:16" s="12" customFormat="1" ht="15.75">
      <c r="A49" s="26" t="s">
        <v>466</v>
      </c>
      <c r="B49" s="14" t="s">
        <v>360</v>
      </c>
      <c r="C49" s="14">
        <v>4</v>
      </c>
      <c r="D49" s="15" t="s">
        <v>361</v>
      </c>
      <c r="E49" s="15" t="s">
        <v>139</v>
      </c>
      <c r="F49" s="16" t="s">
        <v>329</v>
      </c>
      <c r="G49" s="16" t="s">
        <v>330</v>
      </c>
      <c r="H49" s="16" t="str">
        <f>""&amp;MID(A49,4,2)</f>
        <v>02</v>
      </c>
      <c r="I49" s="17" t="s">
        <v>319</v>
      </c>
      <c r="J49" s="17" t="s">
        <v>331</v>
      </c>
      <c r="K49" s="18" t="s">
        <v>467</v>
      </c>
      <c r="L49" s="19">
        <v>0</v>
      </c>
      <c r="M49" s="16" t="str">
        <f>DEC2HEX(O49,3)</f>
        <v>001</v>
      </c>
      <c r="N49" s="16" t="str">
        <f>_xlfn.CONCAT(G49," ",H49," ",I49," ",J49," ",K49," ",L49," ",M49)</f>
        <v>GL 02 00 01 B2 0 001</v>
      </c>
      <c r="O49" s="14">
        <v>1</v>
      </c>
      <c r="P49" s="11" t="s">
        <v>468</v>
      </c>
    </row>
    <row r="50" spans="1:16" s="12" customFormat="1" ht="15.75">
      <c r="A50" s="26" t="s">
        <v>466</v>
      </c>
      <c r="B50" s="14" t="s">
        <v>360</v>
      </c>
      <c r="C50" s="14">
        <v>5</v>
      </c>
      <c r="D50" s="15" t="s">
        <v>361</v>
      </c>
      <c r="E50" s="15" t="s">
        <v>141</v>
      </c>
      <c r="F50" s="16" t="s">
        <v>329</v>
      </c>
      <c r="G50" s="16" t="s">
        <v>330</v>
      </c>
      <c r="H50" s="16" t="str">
        <f>""&amp;MID(A50,4,2)</f>
        <v>02</v>
      </c>
      <c r="I50" s="17" t="s">
        <v>319</v>
      </c>
      <c r="J50" s="17" t="s">
        <v>420</v>
      </c>
      <c r="K50" s="18" t="s">
        <v>467</v>
      </c>
      <c r="L50" s="19">
        <v>0</v>
      </c>
      <c r="M50" s="16" t="str">
        <f>DEC2HEX(O50,3)</f>
        <v>001</v>
      </c>
      <c r="N50" s="16" t="str">
        <f>_xlfn.CONCAT(G50," ",H50," ",I50," ",J50," ",K50," ",L50," ",M50)</f>
        <v>GL 02 00 02 B2 0 001</v>
      </c>
      <c r="O50" s="14">
        <v>1</v>
      </c>
      <c r="P50" s="11" t="s">
        <v>468</v>
      </c>
    </row>
    <row r="51" spans="1:16" s="12" customFormat="1" ht="15.75">
      <c r="A51" s="26" t="s">
        <v>466</v>
      </c>
      <c r="B51" s="14" t="s">
        <v>360</v>
      </c>
      <c r="C51" s="14">
        <v>6</v>
      </c>
      <c r="D51" s="15" t="s">
        <v>361</v>
      </c>
      <c r="E51" s="15" t="s">
        <v>142</v>
      </c>
      <c r="F51" s="16" t="s">
        <v>329</v>
      </c>
      <c r="G51" s="16" t="s">
        <v>330</v>
      </c>
      <c r="H51" s="16" t="str">
        <f>""&amp;MID(A51,4,2)</f>
        <v>02</v>
      </c>
      <c r="I51" s="17" t="s">
        <v>319</v>
      </c>
      <c r="J51" s="17" t="s">
        <v>443</v>
      </c>
      <c r="K51" s="18" t="s">
        <v>467</v>
      </c>
      <c r="L51" s="19">
        <v>0</v>
      </c>
      <c r="M51" s="16" t="str">
        <f>DEC2HEX(O51,3)</f>
        <v>001</v>
      </c>
      <c r="N51" s="16" t="str">
        <f>_xlfn.CONCAT(G51," ",H51," ",I51," ",J51," ",K51," ",L51," ",M51)</f>
        <v>GL 02 00 03 B2 0 001</v>
      </c>
      <c r="O51" s="14">
        <v>1</v>
      </c>
      <c r="P51" s="11" t="s">
        <v>468</v>
      </c>
    </row>
    <row r="52" spans="1:16" s="12" customFormat="1" ht="15.75">
      <c r="A52" s="26" t="s">
        <v>466</v>
      </c>
      <c r="B52" s="14" t="s">
        <v>360</v>
      </c>
      <c r="C52" s="14">
        <v>9</v>
      </c>
      <c r="D52" s="15" t="s">
        <v>367</v>
      </c>
      <c r="E52" s="15" t="s">
        <v>150</v>
      </c>
      <c r="F52" s="16" t="s">
        <v>329</v>
      </c>
      <c r="G52" s="16" t="s">
        <v>330</v>
      </c>
      <c r="H52" s="16" t="str">
        <f>""&amp;MID(A52,4,2)</f>
        <v>02</v>
      </c>
      <c r="I52" s="17" t="s">
        <v>319</v>
      </c>
      <c r="J52" s="17" t="s">
        <v>331</v>
      </c>
      <c r="K52" s="18" t="s">
        <v>467</v>
      </c>
      <c r="L52" s="19" t="s">
        <v>368</v>
      </c>
      <c r="M52" s="16" t="str">
        <f>DEC2HEX(O52,3)</f>
        <v>003</v>
      </c>
      <c r="N52" s="16" t="str">
        <f>_xlfn.CONCAT(G52," ",H52," ",I52," ",J52," ",K52," ",L52," ",M52)</f>
        <v>GL 02 00 01 B2 A 003</v>
      </c>
      <c r="O52" s="14">
        <v>3</v>
      </c>
      <c r="P52" s="11" t="s">
        <v>468</v>
      </c>
    </row>
    <row r="53" spans="1:16" s="12" customFormat="1" ht="15.75">
      <c r="A53" s="26" t="s">
        <v>466</v>
      </c>
      <c r="B53" s="14" t="s">
        <v>360</v>
      </c>
      <c r="C53" s="14">
        <v>10</v>
      </c>
      <c r="D53" s="15" t="s">
        <v>367</v>
      </c>
      <c r="E53" s="15" t="s">
        <v>151</v>
      </c>
      <c r="F53" s="16" t="s">
        <v>329</v>
      </c>
      <c r="G53" s="16" t="s">
        <v>330</v>
      </c>
      <c r="H53" s="16" t="str">
        <f>""&amp;MID(A53,4,2)</f>
        <v>02</v>
      </c>
      <c r="I53" s="17" t="s">
        <v>319</v>
      </c>
      <c r="J53" s="17" t="s">
        <v>420</v>
      </c>
      <c r="K53" s="18" t="s">
        <v>467</v>
      </c>
      <c r="L53" s="19" t="s">
        <v>368</v>
      </c>
      <c r="M53" s="16" t="str">
        <f>DEC2HEX(O53,3)</f>
        <v>003</v>
      </c>
      <c r="N53" s="16" t="str">
        <f>_xlfn.CONCAT(G53," ",H53," ",I53," ",J53," ",K53," ",L53," ",M53)</f>
        <v>GL 02 00 02 B2 A 003</v>
      </c>
      <c r="O53" s="14">
        <v>3</v>
      </c>
      <c r="P53" s="11" t="s">
        <v>468</v>
      </c>
    </row>
    <row r="54" spans="1:16" s="12" customFormat="1" ht="15.75">
      <c r="A54" s="26" t="s">
        <v>466</v>
      </c>
      <c r="B54" s="14" t="s">
        <v>360</v>
      </c>
      <c r="C54" s="14">
        <v>11</v>
      </c>
      <c r="D54" s="15" t="s">
        <v>367</v>
      </c>
      <c r="E54" s="15" t="s">
        <v>152</v>
      </c>
      <c r="F54" s="16" t="s">
        <v>329</v>
      </c>
      <c r="G54" s="16" t="s">
        <v>330</v>
      </c>
      <c r="H54" s="16" t="str">
        <f>""&amp;MID(A54,4,2)</f>
        <v>02</v>
      </c>
      <c r="I54" s="17" t="s">
        <v>319</v>
      </c>
      <c r="J54" s="17" t="s">
        <v>443</v>
      </c>
      <c r="K54" s="18" t="s">
        <v>467</v>
      </c>
      <c r="L54" s="19" t="s">
        <v>368</v>
      </c>
      <c r="M54" s="16" t="str">
        <f>DEC2HEX(O54,3)</f>
        <v>003</v>
      </c>
      <c r="N54" s="16" t="str">
        <f>_xlfn.CONCAT(G54," ",H54," ",I54," ",J54," ",K54," ",L54," ",M54)</f>
        <v>GL 02 00 03 B2 A 003</v>
      </c>
      <c r="O54" s="14">
        <v>3</v>
      </c>
      <c r="P54" s="11" t="s">
        <v>468</v>
      </c>
    </row>
    <row r="55" spans="1:16" s="12" customFormat="1" ht="15.75">
      <c r="A55" s="26" t="s">
        <v>466</v>
      </c>
      <c r="B55" s="14" t="s">
        <v>360</v>
      </c>
      <c r="C55" s="14">
        <v>12</v>
      </c>
      <c r="D55" s="15" t="s">
        <v>366</v>
      </c>
      <c r="E55" s="15" t="s">
        <v>153</v>
      </c>
      <c r="F55" s="16" t="s">
        <v>329</v>
      </c>
      <c r="G55" s="16" t="s">
        <v>330</v>
      </c>
      <c r="H55" s="16" t="str">
        <f>""&amp;MID(A55,4,2)</f>
        <v>02</v>
      </c>
      <c r="I55" s="17" t="s">
        <v>319</v>
      </c>
      <c r="J55" s="17" t="s">
        <v>331</v>
      </c>
      <c r="K55" s="18" t="s">
        <v>467</v>
      </c>
      <c r="L55" s="19">
        <v>0</v>
      </c>
      <c r="M55" s="16" t="str">
        <f>DEC2HEX(O55,3)</f>
        <v>002</v>
      </c>
      <c r="N55" s="16" t="str">
        <f>_xlfn.CONCAT(G55," ",H55," ",I55," ",J55," ",K55," ",L55," ",M55)</f>
        <v>GL 02 00 01 B2 0 002</v>
      </c>
      <c r="O55" s="14">
        <v>2</v>
      </c>
      <c r="P55" s="11" t="s">
        <v>468</v>
      </c>
    </row>
    <row r="56" spans="1:16" s="12" customFormat="1" ht="15.75">
      <c r="A56" s="26" t="s">
        <v>466</v>
      </c>
      <c r="B56" s="14" t="s">
        <v>360</v>
      </c>
      <c r="C56" s="14">
        <v>13</v>
      </c>
      <c r="D56" s="15" t="s">
        <v>366</v>
      </c>
      <c r="E56" s="15" t="s">
        <v>154</v>
      </c>
      <c r="F56" s="16" t="s">
        <v>329</v>
      </c>
      <c r="G56" s="16" t="s">
        <v>330</v>
      </c>
      <c r="H56" s="16" t="str">
        <f>""&amp;MID(A56,4,2)</f>
        <v>02</v>
      </c>
      <c r="I56" s="17" t="s">
        <v>319</v>
      </c>
      <c r="J56" s="17" t="s">
        <v>420</v>
      </c>
      <c r="K56" s="18" t="s">
        <v>467</v>
      </c>
      <c r="L56" s="19">
        <v>0</v>
      </c>
      <c r="M56" s="16" t="str">
        <f>DEC2HEX(O56,3)</f>
        <v>002</v>
      </c>
      <c r="N56" s="16" t="str">
        <f>_xlfn.CONCAT(G56," ",H56," ",I56," ",J56," ",K56," ",L56," ",M56)</f>
        <v>GL 02 00 02 B2 0 002</v>
      </c>
      <c r="O56" s="14">
        <v>2</v>
      </c>
      <c r="P56" s="11" t="s">
        <v>468</v>
      </c>
    </row>
    <row r="57" spans="1:16" s="12" customFormat="1" ht="15.75">
      <c r="A57" s="26" t="s">
        <v>466</v>
      </c>
      <c r="B57" s="14" t="s">
        <v>360</v>
      </c>
      <c r="C57" s="14">
        <v>14</v>
      </c>
      <c r="D57" s="15" t="s">
        <v>366</v>
      </c>
      <c r="E57" s="15" t="s">
        <v>155</v>
      </c>
      <c r="F57" s="16" t="s">
        <v>329</v>
      </c>
      <c r="G57" s="16" t="s">
        <v>330</v>
      </c>
      <c r="H57" s="16" t="str">
        <f>""&amp;MID(A57,4,2)</f>
        <v>02</v>
      </c>
      <c r="I57" s="17" t="s">
        <v>319</v>
      </c>
      <c r="J57" s="17" t="s">
        <v>443</v>
      </c>
      <c r="K57" s="18" t="s">
        <v>467</v>
      </c>
      <c r="L57" s="19">
        <v>0</v>
      </c>
      <c r="M57" s="16" t="str">
        <f>DEC2HEX(O57,3)</f>
        <v>002</v>
      </c>
      <c r="N57" s="16" t="str">
        <f>_xlfn.CONCAT(G57," ",H57," ",I57," ",J57," ",K57," ",L57," ",M57)</f>
        <v>GL 02 00 03 B2 0 002</v>
      </c>
      <c r="O57" s="14">
        <v>2</v>
      </c>
      <c r="P57" s="11" t="s">
        <v>468</v>
      </c>
    </row>
    <row r="58" spans="1:16" s="12" customFormat="1" ht="15.75">
      <c r="A58" s="26" t="s">
        <v>495</v>
      </c>
      <c r="B58" s="14" t="s">
        <v>327</v>
      </c>
      <c r="C58" s="14">
        <v>1</v>
      </c>
      <c r="D58" s="15" t="s">
        <v>469</v>
      </c>
      <c r="E58" s="15" t="s">
        <v>157</v>
      </c>
      <c r="F58" s="16" t="s">
        <v>329</v>
      </c>
      <c r="G58" s="16" t="s">
        <v>330</v>
      </c>
      <c r="H58" s="16" t="str">
        <f>""&amp;MID(A58,4,2)</f>
        <v>03</v>
      </c>
      <c r="I58" s="17" t="s">
        <v>319</v>
      </c>
      <c r="J58" s="17" t="s">
        <v>331</v>
      </c>
      <c r="K58" s="18" t="s">
        <v>496</v>
      </c>
      <c r="L58" s="19">
        <v>0</v>
      </c>
      <c r="M58" s="16" t="str">
        <f>DEC2HEX(O58,3)</f>
        <v>004</v>
      </c>
      <c r="N58" s="16" t="str">
        <f>_xlfn.CONCAT(G58," ",H58," ",I58," ",J58," ",K58," ",L58," ",M58)</f>
        <v>GL 03 00 01 B4 0 004</v>
      </c>
      <c r="O58" s="14">
        <v>4</v>
      </c>
      <c r="P58" s="11" t="s">
        <v>497</v>
      </c>
    </row>
    <row r="59" spans="1:16" s="12" customFormat="1" ht="15.75">
      <c r="A59" s="26" t="s">
        <v>495</v>
      </c>
      <c r="B59" s="14" t="s">
        <v>340</v>
      </c>
      <c r="C59" s="14">
        <v>1</v>
      </c>
      <c r="D59" s="15" t="s">
        <v>470</v>
      </c>
      <c r="E59" s="15" t="s">
        <v>167</v>
      </c>
      <c r="F59" s="16" t="s">
        <v>329</v>
      </c>
      <c r="G59" s="16" t="s">
        <v>330</v>
      </c>
      <c r="H59" s="16" t="str">
        <f>""&amp;MID(A59,4,2)</f>
        <v>03</v>
      </c>
      <c r="I59" s="17" t="s">
        <v>319</v>
      </c>
      <c r="J59" s="17" t="s">
        <v>331</v>
      </c>
      <c r="K59" s="18" t="s">
        <v>496</v>
      </c>
      <c r="L59" s="19">
        <v>0</v>
      </c>
      <c r="M59" s="16" t="str">
        <f>DEC2HEX(O59,3)</f>
        <v>005</v>
      </c>
      <c r="N59" s="16" t="str">
        <f>_xlfn.CONCAT(G59," ",H59," ",I59," ",J59," ",K59," ",L59," ",M59)</f>
        <v>GL 03 00 01 B4 0 005</v>
      </c>
      <c r="O59" s="14">
        <v>5</v>
      </c>
      <c r="P59" s="11" t="s">
        <v>497</v>
      </c>
    </row>
    <row r="60" spans="1:16" s="12" customFormat="1" ht="15.75">
      <c r="A60" s="26" t="s">
        <v>495</v>
      </c>
      <c r="B60" s="14" t="s">
        <v>363</v>
      </c>
      <c r="C60" s="14">
        <v>1</v>
      </c>
      <c r="D60" s="15" t="s">
        <v>364</v>
      </c>
      <c r="E60" s="15" t="s">
        <v>170</v>
      </c>
      <c r="F60" s="16" t="s">
        <v>329</v>
      </c>
      <c r="G60" s="16" t="s">
        <v>330</v>
      </c>
      <c r="H60" s="16" t="str">
        <f>""&amp;MID(A60,4,2)</f>
        <v>03</v>
      </c>
      <c r="I60" s="17" t="s">
        <v>319</v>
      </c>
      <c r="J60" s="17" t="s">
        <v>331</v>
      </c>
      <c r="K60" s="18" t="s">
        <v>496</v>
      </c>
      <c r="L60" s="19">
        <v>0</v>
      </c>
      <c r="M60" s="16" t="str">
        <f>DEC2HEX(O60,3)</f>
        <v>006</v>
      </c>
      <c r="N60" s="16" t="str">
        <f>_xlfn.CONCAT(G60," ",H60," ",I60," ",J60," ",K60," ",L60," ",M60)</f>
        <v>GL 03 00 01 B4 0 006</v>
      </c>
      <c r="O60" s="14">
        <v>6</v>
      </c>
      <c r="P60" s="11" t="s">
        <v>497</v>
      </c>
    </row>
    <row r="61" spans="1:16" s="12" customFormat="1" ht="15.75">
      <c r="A61" s="26" t="s">
        <v>495</v>
      </c>
      <c r="B61" s="14" t="s">
        <v>327</v>
      </c>
      <c r="C61" s="14">
        <v>2</v>
      </c>
      <c r="D61" s="15" t="s">
        <v>469</v>
      </c>
      <c r="E61" s="15" t="s">
        <v>160</v>
      </c>
      <c r="F61" s="16" t="s">
        <v>329</v>
      </c>
      <c r="G61" s="16" t="s">
        <v>330</v>
      </c>
      <c r="H61" s="16" t="str">
        <f>""&amp;MID(A61,4,2)</f>
        <v>03</v>
      </c>
      <c r="I61" s="17" t="s">
        <v>319</v>
      </c>
      <c r="J61" s="17" t="s">
        <v>420</v>
      </c>
      <c r="K61" s="18" t="s">
        <v>496</v>
      </c>
      <c r="L61" s="19">
        <v>0</v>
      </c>
      <c r="M61" s="16" t="str">
        <f>DEC2HEX(O61,3)</f>
        <v>004</v>
      </c>
      <c r="N61" s="16" t="str">
        <f>_xlfn.CONCAT(G61," ",H61," ",I61," ",J61," ",K61," ",L61," ",M61)</f>
        <v>GL 03 00 02 B4 0 004</v>
      </c>
      <c r="O61" s="14">
        <v>4</v>
      </c>
      <c r="P61" s="11" t="s">
        <v>497</v>
      </c>
    </row>
    <row r="62" spans="1:16" s="12" customFormat="1" ht="15.75">
      <c r="A62" s="26" t="s">
        <v>495</v>
      </c>
      <c r="B62" s="14" t="s">
        <v>340</v>
      </c>
      <c r="C62" s="14">
        <v>2</v>
      </c>
      <c r="D62" s="15" t="s">
        <v>470</v>
      </c>
      <c r="E62" s="15" t="s">
        <v>168</v>
      </c>
      <c r="F62" s="16" t="s">
        <v>329</v>
      </c>
      <c r="G62" s="16" t="s">
        <v>330</v>
      </c>
      <c r="H62" s="16" t="str">
        <f>""&amp;MID(A62,4,2)</f>
        <v>03</v>
      </c>
      <c r="I62" s="17" t="s">
        <v>319</v>
      </c>
      <c r="J62" s="17" t="s">
        <v>420</v>
      </c>
      <c r="K62" s="18" t="s">
        <v>496</v>
      </c>
      <c r="L62" s="19">
        <v>0</v>
      </c>
      <c r="M62" s="16" t="str">
        <f>DEC2HEX(O62,3)</f>
        <v>005</v>
      </c>
      <c r="N62" s="16" t="str">
        <f>_xlfn.CONCAT(G62," ",H62," ",I62," ",J62," ",K62," ",L62," ",M62)</f>
        <v>GL 03 00 02 B4 0 005</v>
      </c>
      <c r="O62" s="14">
        <v>5</v>
      </c>
      <c r="P62" s="11" t="s">
        <v>497</v>
      </c>
    </row>
    <row r="63" spans="1:16" s="12" customFormat="1" ht="15.75">
      <c r="A63" s="26" t="s">
        <v>495</v>
      </c>
      <c r="B63" s="14" t="s">
        <v>363</v>
      </c>
      <c r="C63" s="14">
        <v>2</v>
      </c>
      <c r="D63" s="15" t="s">
        <v>364</v>
      </c>
      <c r="E63" s="15" t="s">
        <v>171</v>
      </c>
      <c r="F63" s="16" t="s">
        <v>329</v>
      </c>
      <c r="G63" s="16" t="s">
        <v>330</v>
      </c>
      <c r="H63" s="16" t="str">
        <f>""&amp;MID(A63,4,2)</f>
        <v>03</v>
      </c>
      <c r="I63" s="17" t="s">
        <v>319</v>
      </c>
      <c r="J63" s="17" t="s">
        <v>420</v>
      </c>
      <c r="K63" s="18" t="s">
        <v>496</v>
      </c>
      <c r="L63" s="19">
        <v>0</v>
      </c>
      <c r="M63" s="16" t="str">
        <f>DEC2HEX(O63,3)</f>
        <v>006</v>
      </c>
      <c r="N63" s="16" t="str">
        <f>_xlfn.CONCAT(G63," ",H63," ",I63," ",J63," ",K63," ",L63," ",M63)</f>
        <v>GL 03 00 02 B4 0 006</v>
      </c>
      <c r="O63" s="14">
        <v>6</v>
      </c>
      <c r="P63" s="11" t="s">
        <v>497</v>
      </c>
    </row>
    <row r="64" spans="1:16" s="12" customFormat="1" ht="15.75">
      <c r="A64" s="26" t="s">
        <v>495</v>
      </c>
      <c r="B64" s="14" t="s">
        <v>327</v>
      </c>
      <c r="C64" s="14">
        <v>3</v>
      </c>
      <c r="D64" s="15" t="s">
        <v>469</v>
      </c>
      <c r="E64" s="15" t="s">
        <v>162</v>
      </c>
      <c r="F64" s="16" t="s">
        <v>329</v>
      </c>
      <c r="G64" s="16" t="s">
        <v>330</v>
      </c>
      <c r="H64" s="16" t="str">
        <f>""&amp;MID(A64,4,2)</f>
        <v>03</v>
      </c>
      <c r="I64" s="17" t="s">
        <v>319</v>
      </c>
      <c r="J64" s="17" t="s">
        <v>443</v>
      </c>
      <c r="K64" s="18" t="s">
        <v>496</v>
      </c>
      <c r="L64" s="19">
        <v>0</v>
      </c>
      <c r="M64" s="16" t="str">
        <f>DEC2HEX(O64,3)</f>
        <v>004</v>
      </c>
      <c r="N64" s="16" t="str">
        <f>_xlfn.CONCAT(G64," ",H64," ",I64," ",J64," ",K64," ",L64," ",M64)</f>
        <v>GL 03 00 03 B4 0 004</v>
      </c>
      <c r="O64" s="14">
        <v>4</v>
      </c>
      <c r="P64" s="11" t="s">
        <v>497</v>
      </c>
    </row>
    <row r="65" spans="1:16" s="12" customFormat="1" ht="15.75">
      <c r="A65" s="26" t="s">
        <v>495</v>
      </c>
      <c r="B65" s="14" t="s">
        <v>340</v>
      </c>
      <c r="C65" s="14">
        <v>3</v>
      </c>
      <c r="D65" s="15" t="s">
        <v>470</v>
      </c>
      <c r="E65" s="15" t="s">
        <v>169</v>
      </c>
      <c r="F65" s="16" t="s">
        <v>329</v>
      </c>
      <c r="G65" s="16" t="s">
        <v>330</v>
      </c>
      <c r="H65" s="16" t="str">
        <f>""&amp;MID(A65,4,2)</f>
        <v>03</v>
      </c>
      <c r="I65" s="17" t="s">
        <v>319</v>
      </c>
      <c r="J65" s="17" t="s">
        <v>443</v>
      </c>
      <c r="K65" s="18" t="s">
        <v>496</v>
      </c>
      <c r="L65" s="19">
        <v>0</v>
      </c>
      <c r="M65" s="16" t="str">
        <f>DEC2HEX(O65,3)</f>
        <v>005</v>
      </c>
      <c r="N65" s="16" t="str">
        <f>_xlfn.CONCAT(G65," ",H65," ",I65," ",J65," ",K65," ",L65," ",M65)</f>
        <v>GL 03 00 03 B4 0 005</v>
      </c>
      <c r="O65" s="14">
        <v>5</v>
      </c>
      <c r="P65" s="11" t="s">
        <v>497</v>
      </c>
    </row>
    <row r="66" spans="1:16" s="12" customFormat="1" ht="15.75">
      <c r="A66" s="26" t="s">
        <v>495</v>
      </c>
      <c r="B66" s="14" t="s">
        <v>363</v>
      </c>
      <c r="C66" s="14">
        <v>3</v>
      </c>
      <c r="D66" s="15" t="s">
        <v>364</v>
      </c>
      <c r="E66" s="15" t="s">
        <v>172</v>
      </c>
      <c r="F66" s="16" t="s">
        <v>329</v>
      </c>
      <c r="G66" s="16" t="s">
        <v>330</v>
      </c>
      <c r="H66" s="16" t="str">
        <f>""&amp;MID(A66,4,2)</f>
        <v>03</v>
      </c>
      <c r="I66" s="17" t="s">
        <v>319</v>
      </c>
      <c r="J66" s="17" t="s">
        <v>443</v>
      </c>
      <c r="K66" s="18" t="s">
        <v>496</v>
      </c>
      <c r="L66" s="19">
        <v>0</v>
      </c>
      <c r="M66" s="16" t="str">
        <f>DEC2HEX(O66,3)</f>
        <v>006</v>
      </c>
      <c r="N66" s="16" t="str">
        <f>_xlfn.CONCAT(G66," ",H66," ",I66," ",J66," ",K66," ",L66," ",M66)</f>
        <v>GL 03 00 03 B4 0 006</v>
      </c>
      <c r="O66" s="14">
        <v>6</v>
      </c>
      <c r="P66" s="11" t="s">
        <v>497</v>
      </c>
    </row>
    <row r="67" spans="1:16" s="12" customFormat="1" ht="15.75">
      <c r="A67" s="26" t="s">
        <v>495</v>
      </c>
      <c r="B67" s="14" t="s">
        <v>360</v>
      </c>
      <c r="C67" s="14">
        <v>4</v>
      </c>
      <c r="D67" s="15" t="s">
        <v>361</v>
      </c>
      <c r="E67" s="15" t="s">
        <v>164</v>
      </c>
      <c r="F67" s="16" t="s">
        <v>329</v>
      </c>
      <c r="G67" s="16" t="s">
        <v>330</v>
      </c>
      <c r="H67" s="16" t="str">
        <f>""&amp;MID(A67,4,2)</f>
        <v>03</v>
      </c>
      <c r="I67" s="17" t="s">
        <v>319</v>
      </c>
      <c r="J67" s="17" t="s">
        <v>331</v>
      </c>
      <c r="K67" s="18" t="s">
        <v>496</v>
      </c>
      <c r="L67" s="19">
        <v>0</v>
      </c>
      <c r="M67" s="16" t="str">
        <f>DEC2HEX(O67,3)</f>
        <v>001</v>
      </c>
      <c r="N67" s="16" t="str">
        <f>_xlfn.CONCAT(G67," ",H67," ",I67," ",J67," ",K67," ",L67," ",M67)</f>
        <v>GL 03 00 01 B4 0 001</v>
      </c>
      <c r="O67" s="14">
        <v>1</v>
      </c>
      <c r="P67" s="11" t="s">
        <v>497</v>
      </c>
    </row>
    <row r="68" spans="1:16" s="12" customFormat="1" ht="15.75">
      <c r="A68" s="26" t="s">
        <v>495</v>
      </c>
      <c r="B68" s="14" t="s">
        <v>360</v>
      </c>
      <c r="C68" s="14">
        <v>5</v>
      </c>
      <c r="D68" s="15" t="s">
        <v>361</v>
      </c>
      <c r="E68" s="15" t="s">
        <v>165</v>
      </c>
      <c r="F68" s="16" t="s">
        <v>329</v>
      </c>
      <c r="G68" s="16" t="s">
        <v>330</v>
      </c>
      <c r="H68" s="16" t="str">
        <f>""&amp;MID(A68,4,2)</f>
        <v>03</v>
      </c>
      <c r="I68" s="17" t="s">
        <v>319</v>
      </c>
      <c r="J68" s="17" t="s">
        <v>420</v>
      </c>
      <c r="K68" s="18" t="s">
        <v>496</v>
      </c>
      <c r="L68" s="19">
        <v>0</v>
      </c>
      <c r="M68" s="16" t="str">
        <f>DEC2HEX(O68,3)</f>
        <v>001</v>
      </c>
      <c r="N68" s="16" t="str">
        <f>_xlfn.CONCAT(G68," ",H68," ",I68," ",J68," ",K68," ",L68," ",M68)</f>
        <v>GL 03 00 02 B4 0 001</v>
      </c>
      <c r="O68" s="14">
        <v>1</v>
      </c>
      <c r="P68" s="11" t="s">
        <v>497</v>
      </c>
    </row>
    <row r="69" spans="1:16" s="12" customFormat="1" ht="15.75">
      <c r="A69" s="26" t="s">
        <v>495</v>
      </c>
      <c r="B69" s="14" t="s">
        <v>360</v>
      </c>
      <c r="C69" s="14">
        <v>6</v>
      </c>
      <c r="D69" s="15" t="s">
        <v>361</v>
      </c>
      <c r="E69" s="15" t="s">
        <v>166</v>
      </c>
      <c r="F69" s="16" t="s">
        <v>329</v>
      </c>
      <c r="G69" s="16" t="s">
        <v>330</v>
      </c>
      <c r="H69" s="16" t="str">
        <f>""&amp;MID(A69,4,2)</f>
        <v>03</v>
      </c>
      <c r="I69" s="17" t="s">
        <v>319</v>
      </c>
      <c r="J69" s="17" t="s">
        <v>443</v>
      </c>
      <c r="K69" s="18" t="s">
        <v>496</v>
      </c>
      <c r="L69" s="19">
        <v>0</v>
      </c>
      <c r="M69" s="16" t="str">
        <f>DEC2HEX(O69,3)</f>
        <v>001</v>
      </c>
      <c r="N69" s="16" t="str">
        <f>_xlfn.CONCAT(G69," ",H69," ",I69," ",J69," ",K69," ",L69," ",M69)</f>
        <v>GL 03 00 03 B4 0 001</v>
      </c>
      <c r="O69" s="14">
        <v>1</v>
      </c>
      <c r="P69" s="11" t="s">
        <v>497</v>
      </c>
    </row>
    <row r="70" spans="1:16" s="12" customFormat="1" ht="15.75">
      <c r="A70" s="26" t="s">
        <v>495</v>
      </c>
      <c r="B70" s="14" t="s">
        <v>360</v>
      </c>
      <c r="C70" s="14">
        <v>9</v>
      </c>
      <c r="D70" s="15" t="s">
        <v>367</v>
      </c>
      <c r="E70" s="15" t="s">
        <v>173</v>
      </c>
      <c r="F70" s="16" t="s">
        <v>329</v>
      </c>
      <c r="G70" s="16" t="s">
        <v>330</v>
      </c>
      <c r="H70" s="16" t="str">
        <f>""&amp;MID(A70,4,2)</f>
        <v>03</v>
      </c>
      <c r="I70" s="17" t="s">
        <v>319</v>
      </c>
      <c r="J70" s="17" t="s">
        <v>331</v>
      </c>
      <c r="K70" s="18" t="s">
        <v>496</v>
      </c>
      <c r="L70" s="19" t="s">
        <v>368</v>
      </c>
      <c r="M70" s="16" t="str">
        <f>DEC2HEX(O70,3)</f>
        <v>003</v>
      </c>
      <c r="N70" s="16" t="str">
        <f>_xlfn.CONCAT(G70," ",H70," ",I70," ",J70," ",K70," ",L70," ",M70)</f>
        <v>GL 03 00 01 B4 A 003</v>
      </c>
      <c r="O70" s="14">
        <v>3</v>
      </c>
      <c r="P70" s="11" t="s">
        <v>497</v>
      </c>
    </row>
    <row r="71" spans="1:16" s="12" customFormat="1" ht="15.75">
      <c r="A71" s="26" t="s">
        <v>495</v>
      </c>
      <c r="B71" s="14" t="s">
        <v>360</v>
      </c>
      <c r="C71" s="14">
        <v>10</v>
      </c>
      <c r="D71" s="15" t="s">
        <v>367</v>
      </c>
      <c r="E71" s="15" t="s">
        <v>174</v>
      </c>
      <c r="F71" s="16" t="s">
        <v>329</v>
      </c>
      <c r="G71" s="16" t="s">
        <v>330</v>
      </c>
      <c r="H71" s="16" t="str">
        <f>""&amp;MID(A71,4,2)</f>
        <v>03</v>
      </c>
      <c r="I71" s="17" t="s">
        <v>319</v>
      </c>
      <c r="J71" s="17" t="s">
        <v>420</v>
      </c>
      <c r="K71" s="18" t="s">
        <v>496</v>
      </c>
      <c r="L71" s="19" t="s">
        <v>368</v>
      </c>
      <c r="M71" s="16" t="str">
        <f>DEC2HEX(O71,3)</f>
        <v>003</v>
      </c>
      <c r="N71" s="16" t="str">
        <f>_xlfn.CONCAT(G71," ",H71," ",I71," ",J71," ",K71," ",L71," ",M71)</f>
        <v>GL 03 00 02 B4 A 003</v>
      </c>
      <c r="O71" s="14">
        <v>3</v>
      </c>
      <c r="P71" s="11" t="s">
        <v>497</v>
      </c>
    </row>
    <row r="72" spans="1:16" s="12" customFormat="1" ht="15.75">
      <c r="A72" s="26" t="s">
        <v>495</v>
      </c>
      <c r="B72" s="14" t="s">
        <v>360</v>
      </c>
      <c r="C72" s="14">
        <v>11</v>
      </c>
      <c r="D72" s="15" t="s">
        <v>367</v>
      </c>
      <c r="E72" s="15" t="s">
        <v>175</v>
      </c>
      <c r="F72" s="16" t="s">
        <v>329</v>
      </c>
      <c r="G72" s="16" t="s">
        <v>330</v>
      </c>
      <c r="H72" s="16" t="str">
        <f>""&amp;MID(A72,4,2)</f>
        <v>03</v>
      </c>
      <c r="I72" s="17" t="s">
        <v>319</v>
      </c>
      <c r="J72" s="17" t="s">
        <v>443</v>
      </c>
      <c r="K72" s="18" t="s">
        <v>496</v>
      </c>
      <c r="L72" s="19" t="s">
        <v>368</v>
      </c>
      <c r="M72" s="16" t="str">
        <f>DEC2HEX(O72,3)</f>
        <v>003</v>
      </c>
      <c r="N72" s="16" t="str">
        <f>_xlfn.CONCAT(G72," ",H72," ",I72," ",J72," ",K72," ",L72," ",M72)</f>
        <v>GL 03 00 03 B4 A 003</v>
      </c>
      <c r="O72" s="14">
        <v>3</v>
      </c>
      <c r="P72" s="11" t="s">
        <v>497</v>
      </c>
    </row>
    <row r="73" spans="1:16" s="12" customFormat="1" ht="15.75">
      <c r="A73" s="26" t="s">
        <v>495</v>
      </c>
      <c r="B73" s="14" t="s">
        <v>360</v>
      </c>
      <c r="C73" s="14">
        <v>12</v>
      </c>
      <c r="D73" s="15" t="s">
        <v>366</v>
      </c>
      <c r="E73" s="15" t="s">
        <v>176</v>
      </c>
      <c r="F73" s="16" t="s">
        <v>329</v>
      </c>
      <c r="G73" s="16" t="s">
        <v>330</v>
      </c>
      <c r="H73" s="16" t="str">
        <f>""&amp;MID(A73,4,2)</f>
        <v>03</v>
      </c>
      <c r="I73" s="17" t="s">
        <v>319</v>
      </c>
      <c r="J73" s="17" t="s">
        <v>331</v>
      </c>
      <c r="K73" s="18" t="s">
        <v>496</v>
      </c>
      <c r="L73" s="19">
        <v>0</v>
      </c>
      <c r="M73" s="16" t="str">
        <f>DEC2HEX(O73,3)</f>
        <v>002</v>
      </c>
      <c r="N73" s="16" t="str">
        <f>_xlfn.CONCAT(G73," ",H73," ",I73," ",J73," ",K73," ",L73," ",M73)</f>
        <v>GL 03 00 01 B4 0 002</v>
      </c>
      <c r="O73" s="14">
        <v>2</v>
      </c>
      <c r="P73" s="11" t="s">
        <v>497</v>
      </c>
    </row>
    <row r="74" spans="1:16" s="12" customFormat="1" ht="15.75">
      <c r="A74" s="26" t="s">
        <v>495</v>
      </c>
      <c r="B74" s="14" t="s">
        <v>360</v>
      </c>
      <c r="C74" s="14">
        <v>13</v>
      </c>
      <c r="D74" s="15" t="s">
        <v>366</v>
      </c>
      <c r="E74" s="15" t="s">
        <v>177</v>
      </c>
      <c r="F74" s="16" t="s">
        <v>329</v>
      </c>
      <c r="G74" s="16" t="s">
        <v>330</v>
      </c>
      <c r="H74" s="16" t="str">
        <f>""&amp;MID(A74,4,2)</f>
        <v>03</v>
      </c>
      <c r="I74" s="17" t="s">
        <v>319</v>
      </c>
      <c r="J74" s="17" t="s">
        <v>420</v>
      </c>
      <c r="K74" s="18" t="s">
        <v>496</v>
      </c>
      <c r="L74" s="19">
        <v>0</v>
      </c>
      <c r="M74" s="16" t="str">
        <f>DEC2HEX(O74,3)</f>
        <v>002</v>
      </c>
      <c r="N74" s="16" t="str">
        <f>_xlfn.CONCAT(G74," ",H74," ",I74," ",J74," ",K74," ",L74," ",M74)</f>
        <v>GL 03 00 02 B4 0 002</v>
      </c>
      <c r="O74" s="14">
        <v>2</v>
      </c>
      <c r="P74" s="11" t="s">
        <v>497</v>
      </c>
    </row>
    <row r="75" spans="1:16" s="12" customFormat="1" ht="15.75">
      <c r="A75" s="26" t="s">
        <v>495</v>
      </c>
      <c r="B75" s="14" t="s">
        <v>360</v>
      </c>
      <c r="C75" s="14">
        <v>14</v>
      </c>
      <c r="D75" s="15" t="s">
        <v>366</v>
      </c>
      <c r="E75" s="15" t="s">
        <v>178</v>
      </c>
      <c r="F75" s="16" t="s">
        <v>329</v>
      </c>
      <c r="G75" s="16" t="s">
        <v>330</v>
      </c>
      <c r="H75" s="16" t="str">
        <f>""&amp;MID(A75,4,2)</f>
        <v>03</v>
      </c>
      <c r="I75" s="17" t="s">
        <v>319</v>
      </c>
      <c r="J75" s="17" t="s">
        <v>443</v>
      </c>
      <c r="K75" s="18" t="s">
        <v>496</v>
      </c>
      <c r="L75" s="19">
        <v>0</v>
      </c>
      <c r="M75" s="16" t="str">
        <f>DEC2HEX(O75,3)</f>
        <v>002</v>
      </c>
      <c r="N75" s="16" t="str">
        <f>_xlfn.CONCAT(G75," ",H75," ",I75," ",J75," ",K75," ",L75," ",M75)</f>
        <v>GL 03 00 03 B4 0 002</v>
      </c>
      <c r="O75" s="14">
        <v>2</v>
      </c>
      <c r="P75" s="11" t="s">
        <v>497</v>
      </c>
    </row>
    <row r="76" spans="1:16" s="12" customFormat="1" ht="15.75">
      <c r="A76" s="26" t="s">
        <v>516</v>
      </c>
      <c r="B76" s="14" t="s">
        <v>327</v>
      </c>
      <c r="C76" s="14">
        <v>1</v>
      </c>
      <c r="D76" s="15" t="s">
        <v>568</v>
      </c>
      <c r="E76" s="15" t="s">
        <v>180</v>
      </c>
      <c r="F76" s="16" t="s">
        <v>329</v>
      </c>
      <c r="G76" s="16" t="s">
        <v>330</v>
      </c>
      <c r="H76" s="16" t="str">
        <f>""&amp;MID(A76,4,2)</f>
        <v>04</v>
      </c>
      <c r="I76" s="17" t="s">
        <v>319</v>
      </c>
      <c r="J76" s="17" t="s">
        <v>331</v>
      </c>
      <c r="K76" s="18" t="s">
        <v>517</v>
      </c>
      <c r="L76" s="19">
        <v>0</v>
      </c>
      <c r="M76" s="16" t="str">
        <f>DEC2HEX(O76,3)</f>
        <v>001</v>
      </c>
      <c r="N76" s="16" t="str">
        <f>_xlfn.CONCAT(G76," ",H76," ",I76," ",J76," ",K76," ",L76," ",M76)</f>
        <v>GL 04 00 01 B7 0 001</v>
      </c>
      <c r="O76" s="14">
        <v>1</v>
      </c>
      <c r="P76" s="11" t="s">
        <v>6</v>
      </c>
    </row>
    <row r="77" spans="1:16" s="12" customFormat="1" ht="15.75">
      <c r="A77" s="26" t="s">
        <v>516</v>
      </c>
      <c r="B77" s="14" t="s">
        <v>340</v>
      </c>
      <c r="C77" s="14">
        <v>1</v>
      </c>
      <c r="D77" s="15" t="s">
        <v>572</v>
      </c>
      <c r="E77" s="15" t="s">
        <v>197</v>
      </c>
      <c r="F77" s="16" t="s">
        <v>329</v>
      </c>
      <c r="G77" s="16" t="s">
        <v>330</v>
      </c>
      <c r="H77" s="16" t="str">
        <f>""&amp;MID(A77,4,2)</f>
        <v>04</v>
      </c>
      <c r="I77" s="17" t="s">
        <v>319</v>
      </c>
      <c r="J77" s="17" t="s">
        <v>331</v>
      </c>
      <c r="K77" s="18" t="s">
        <v>517</v>
      </c>
      <c r="L77" s="19">
        <v>0</v>
      </c>
      <c r="M77" s="16" t="str">
        <f>DEC2HEX(O77,3)</f>
        <v>002</v>
      </c>
      <c r="N77" s="16" t="str">
        <f>_xlfn.CONCAT(G77," ",H77," ",I77," ",J77," ",K77," ",L77," ",M77)</f>
        <v>GL 04 00 01 B7 0 002</v>
      </c>
      <c r="O77" s="14">
        <v>2</v>
      </c>
      <c r="P77" s="11" t="s">
        <v>6</v>
      </c>
    </row>
    <row r="78" spans="1:16" s="12" customFormat="1" ht="15.75">
      <c r="A78" s="26" t="s">
        <v>516</v>
      </c>
      <c r="B78" s="14" t="s">
        <v>363</v>
      </c>
      <c r="C78" s="14">
        <v>1</v>
      </c>
      <c r="D78" s="15" t="s">
        <v>574</v>
      </c>
      <c r="E78" s="15" t="s">
        <v>201</v>
      </c>
      <c r="F78" s="16" t="s">
        <v>329</v>
      </c>
      <c r="G78" s="16" t="s">
        <v>330</v>
      </c>
      <c r="H78" s="16" t="str">
        <f>""&amp;MID(A78,4,2)</f>
        <v>04</v>
      </c>
      <c r="I78" s="17" t="s">
        <v>319</v>
      </c>
      <c r="J78" s="17" t="s">
        <v>331</v>
      </c>
      <c r="K78" s="18" t="s">
        <v>517</v>
      </c>
      <c r="L78" s="19">
        <v>0</v>
      </c>
      <c r="M78" s="16" t="str">
        <f>DEC2HEX(O78,3)</f>
        <v>003</v>
      </c>
      <c r="N78" s="16" t="str">
        <f>_xlfn.CONCAT(G78," ",H78," ",I78," ",J78," ",K78," ",L78," ",M78)</f>
        <v>GL 04 00 01 B7 0 003</v>
      </c>
      <c r="O78" s="14">
        <v>3</v>
      </c>
      <c r="P78" s="11" t="s">
        <v>6</v>
      </c>
    </row>
    <row r="79" spans="1:16" s="12" customFormat="1" ht="15.75">
      <c r="A79" s="26" t="s">
        <v>516</v>
      </c>
      <c r="B79" s="14" t="s">
        <v>327</v>
      </c>
      <c r="C79" s="14">
        <v>2</v>
      </c>
      <c r="D79" s="15" t="s">
        <v>569</v>
      </c>
      <c r="E79" s="15" t="s">
        <v>185</v>
      </c>
      <c r="F79" s="16" t="s">
        <v>329</v>
      </c>
      <c r="G79" s="16" t="s">
        <v>330</v>
      </c>
      <c r="H79" s="16" t="str">
        <f>""&amp;MID(A79,4,2)</f>
        <v>04</v>
      </c>
      <c r="I79" s="17" t="s">
        <v>319</v>
      </c>
      <c r="J79" s="17" t="s">
        <v>331</v>
      </c>
      <c r="K79" s="18" t="s">
        <v>517</v>
      </c>
      <c r="L79" s="19">
        <v>0</v>
      </c>
      <c r="M79" s="16" t="str">
        <f>DEC2HEX(O79,3)</f>
        <v>004</v>
      </c>
      <c r="N79" s="16" t="str">
        <f>_xlfn.CONCAT(G79," ",H79," ",I79," ",J79," ",K79," ",L79," ",M79)</f>
        <v>GL 04 00 01 B7 0 004</v>
      </c>
      <c r="O79" s="14">
        <v>4</v>
      </c>
      <c r="P79" s="11" t="s">
        <v>6</v>
      </c>
    </row>
    <row r="80" spans="1:16" s="12" customFormat="1" ht="15.75">
      <c r="A80" s="26" t="s">
        <v>516</v>
      </c>
      <c r="B80" s="14" t="s">
        <v>340</v>
      </c>
      <c r="C80" s="14">
        <v>2</v>
      </c>
      <c r="D80" s="15" t="s">
        <v>573</v>
      </c>
      <c r="E80" s="15" t="s">
        <v>199</v>
      </c>
      <c r="F80" s="16" t="s">
        <v>329</v>
      </c>
      <c r="G80" s="16" t="s">
        <v>330</v>
      </c>
      <c r="H80" s="16" t="str">
        <f>""&amp;MID(A80,4,2)</f>
        <v>04</v>
      </c>
      <c r="I80" s="17" t="s">
        <v>319</v>
      </c>
      <c r="J80" s="17" t="s">
        <v>331</v>
      </c>
      <c r="K80" s="18" t="s">
        <v>517</v>
      </c>
      <c r="L80" s="19">
        <v>0</v>
      </c>
      <c r="M80" s="16" t="str">
        <f>DEC2HEX(O80,3)</f>
        <v>005</v>
      </c>
      <c r="N80" s="16" t="str">
        <f>_xlfn.CONCAT(G80," ",H80," ",I80," ",J80," ",K80," ",L80," ",M80)</f>
        <v>GL 04 00 01 B7 0 005</v>
      </c>
      <c r="O80" s="14">
        <v>5</v>
      </c>
      <c r="P80" s="11" t="s">
        <v>6</v>
      </c>
    </row>
    <row r="81" spans="1:16" s="12" customFormat="1" ht="15.75">
      <c r="A81" s="26" t="s">
        <v>516</v>
      </c>
      <c r="B81" s="14" t="s">
        <v>363</v>
      </c>
      <c r="C81" s="14">
        <v>2</v>
      </c>
      <c r="D81" s="15" t="s">
        <v>575</v>
      </c>
      <c r="E81" s="15" t="s">
        <v>203</v>
      </c>
      <c r="F81" s="16" t="s">
        <v>329</v>
      </c>
      <c r="G81" s="16" t="s">
        <v>330</v>
      </c>
      <c r="H81" s="16" t="str">
        <f>""&amp;MID(A81,4,2)</f>
        <v>04</v>
      </c>
      <c r="I81" s="17" t="s">
        <v>319</v>
      </c>
      <c r="J81" s="17" t="s">
        <v>331</v>
      </c>
      <c r="K81" s="18" t="s">
        <v>517</v>
      </c>
      <c r="L81" s="19">
        <v>0</v>
      </c>
      <c r="M81" s="16" t="str">
        <f>DEC2HEX(O81,3)</f>
        <v>006</v>
      </c>
      <c r="N81" s="16" t="str">
        <f>_xlfn.CONCAT(G81," ",H81," ",I81," ",J81," ",K81," ",L81," ",M81)</f>
        <v>GL 04 00 01 B7 0 006</v>
      </c>
      <c r="O81" s="14">
        <v>6</v>
      </c>
      <c r="P81" s="11" t="s">
        <v>6</v>
      </c>
    </row>
    <row r="82" spans="1:16" s="12" customFormat="1" ht="15.75">
      <c r="A82" s="26" t="s">
        <v>516</v>
      </c>
      <c r="B82" s="14" t="s">
        <v>327</v>
      </c>
      <c r="C82" s="14">
        <v>3</v>
      </c>
      <c r="D82" s="15" t="s">
        <v>568</v>
      </c>
      <c r="E82" s="15" t="s">
        <v>250</v>
      </c>
      <c r="F82" s="16" t="s">
        <v>329</v>
      </c>
      <c r="G82" s="16" t="s">
        <v>330</v>
      </c>
      <c r="H82" s="16" t="str">
        <f>""&amp;MID(A82,4,2)</f>
        <v>04</v>
      </c>
      <c r="I82" s="17" t="s">
        <v>319</v>
      </c>
      <c r="J82" s="17" t="s">
        <v>420</v>
      </c>
      <c r="K82" s="18" t="s">
        <v>517</v>
      </c>
      <c r="L82" s="19">
        <v>0</v>
      </c>
      <c r="M82" s="16" t="str">
        <f>DEC2HEX(O82,3)</f>
        <v>001</v>
      </c>
      <c r="N82" s="16" t="str">
        <f>_xlfn.CONCAT(G82," ",H82," ",I82," ",J82," ",K82," ",L82," ",M82)</f>
        <v>GL 04 00 02 B7 0 001</v>
      </c>
      <c r="O82" s="14">
        <v>1</v>
      </c>
      <c r="P82" s="11" t="s">
        <v>6</v>
      </c>
    </row>
    <row r="83" spans="1:16" s="12" customFormat="1" ht="15.75">
      <c r="A83" s="26" t="s">
        <v>516</v>
      </c>
      <c r="B83" s="14" t="s">
        <v>340</v>
      </c>
      <c r="C83" s="14">
        <v>3</v>
      </c>
      <c r="D83" s="15" t="s">
        <v>572</v>
      </c>
      <c r="E83" s="15" t="s">
        <v>264</v>
      </c>
      <c r="F83" s="16" t="s">
        <v>329</v>
      </c>
      <c r="G83" s="16" t="s">
        <v>330</v>
      </c>
      <c r="H83" s="16" t="str">
        <f>""&amp;MID(A83,4,2)</f>
        <v>04</v>
      </c>
      <c r="I83" s="17" t="s">
        <v>319</v>
      </c>
      <c r="J83" s="17" t="s">
        <v>420</v>
      </c>
      <c r="K83" s="18" t="s">
        <v>517</v>
      </c>
      <c r="L83" s="19">
        <v>0</v>
      </c>
      <c r="M83" s="16" t="str">
        <f>DEC2HEX(O83,3)</f>
        <v>002</v>
      </c>
      <c r="N83" s="16" t="str">
        <f>_xlfn.CONCAT(G83," ",H83," ",I83," ",J83," ",K83," ",L83," ",M83)</f>
        <v>GL 04 00 02 B7 0 002</v>
      </c>
      <c r="O83" s="14">
        <v>2</v>
      </c>
      <c r="P83" s="11" t="s">
        <v>6</v>
      </c>
    </row>
    <row r="84" spans="1:16" s="12" customFormat="1" ht="15.75">
      <c r="A84" s="26" t="s">
        <v>516</v>
      </c>
      <c r="B84" s="14" t="s">
        <v>363</v>
      </c>
      <c r="C84" s="14">
        <v>3</v>
      </c>
      <c r="D84" s="15" t="s">
        <v>574</v>
      </c>
      <c r="E84" s="15" t="s">
        <v>266</v>
      </c>
      <c r="F84" s="16" t="s">
        <v>329</v>
      </c>
      <c r="G84" s="16" t="s">
        <v>330</v>
      </c>
      <c r="H84" s="16" t="str">
        <f>""&amp;MID(A84,4,2)</f>
        <v>04</v>
      </c>
      <c r="I84" s="17" t="s">
        <v>319</v>
      </c>
      <c r="J84" s="17" t="s">
        <v>420</v>
      </c>
      <c r="K84" s="18" t="s">
        <v>517</v>
      </c>
      <c r="L84" s="19">
        <v>0</v>
      </c>
      <c r="M84" s="16" t="str">
        <f>DEC2HEX(O84,3)</f>
        <v>003</v>
      </c>
      <c r="N84" s="16" t="str">
        <f>_xlfn.CONCAT(G84," ",H84," ",I84," ",J84," ",K84," ",L84," ",M84)</f>
        <v>GL 04 00 02 B7 0 003</v>
      </c>
      <c r="O84" s="14">
        <v>3</v>
      </c>
      <c r="P84" s="11" t="s">
        <v>6</v>
      </c>
    </row>
    <row r="85" spans="1:16" s="12" customFormat="1" ht="15.75">
      <c r="A85" s="26" t="s">
        <v>516</v>
      </c>
      <c r="B85" s="14" t="s">
        <v>327</v>
      </c>
      <c r="C85" s="14">
        <v>4</v>
      </c>
      <c r="D85" s="15" t="s">
        <v>569</v>
      </c>
      <c r="E85" s="15" t="s">
        <v>525</v>
      </c>
      <c r="F85" s="16" t="s">
        <v>329</v>
      </c>
      <c r="G85" s="16" t="s">
        <v>330</v>
      </c>
      <c r="H85" s="16" t="str">
        <f>""&amp;MID(A85,4,2)</f>
        <v>04</v>
      </c>
      <c r="I85" s="17" t="s">
        <v>319</v>
      </c>
      <c r="J85" s="17" t="s">
        <v>420</v>
      </c>
      <c r="K85" s="18" t="s">
        <v>517</v>
      </c>
      <c r="L85" s="19">
        <v>0</v>
      </c>
      <c r="M85" s="16" t="str">
        <f>DEC2HEX(O85,3)</f>
        <v>004</v>
      </c>
      <c r="N85" s="16" t="str">
        <f>_xlfn.CONCAT(G85," ",H85," ",I85," ",J85," ",K85," ",L85," ",M85)</f>
        <v>GL 04 00 02 B7 0 004</v>
      </c>
      <c r="O85" s="14">
        <v>4</v>
      </c>
      <c r="P85" s="11" t="s">
        <v>6</v>
      </c>
    </row>
    <row r="86" spans="1:16" s="12" customFormat="1" ht="15.75">
      <c r="A86" s="26" t="s">
        <v>516</v>
      </c>
      <c r="B86" s="14" t="s">
        <v>340</v>
      </c>
      <c r="C86" s="14">
        <v>4</v>
      </c>
      <c r="D86" s="15" t="s">
        <v>573</v>
      </c>
      <c r="E86" s="15" t="s">
        <v>528</v>
      </c>
      <c r="F86" s="16" t="s">
        <v>329</v>
      </c>
      <c r="G86" s="16" t="s">
        <v>330</v>
      </c>
      <c r="H86" s="16" t="str">
        <f>""&amp;MID(A86,4,2)</f>
        <v>04</v>
      </c>
      <c r="I86" s="17" t="s">
        <v>319</v>
      </c>
      <c r="J86" s="17" t="s">
        <v>420</v>
      </c>
      <c r="K86" s="18" t="s">
        <v>517</v>
      </c>
      <c r="L86" s="19">
        <v>0</v>
      </c>
      <c r="M86" s="16" t="str">
        <f>DEC2HEX(O86,3)</f>
        <v>005</v>
      </c>
      <c r="N86" s="16" t="str">
        <f>_xlfn.CONCAT(G86," ",H86," ",I86," ",J86," ",K86," ",L86," ",M86)</f>
        <v>GL 04 00 02 B7 0 005</v>
      </c>
      <c r="O86" s="14">
        <v>5</v>
      </c>
      <c r="P86" s="11" t="s">
        <v>6</v>
      </c>
    </row>
    <row r="87" spans="1:16" s="12" customFormat="1" ht="15.75">
      <c r="A87" s="26" t="s">
        <v>516</v>
      </c>
      <c r="B87" s="14" t="s">
        <v>363</v>
      </c>
      <c r="C87" s="14">
        <v>4</v>
      </c>
      <c r="D87" s="15" t="s">
        <v>575</v>
      </c>
      <c r="E87" s="15" t="s">
        <v>529</v>
      </c>
      <c r="F87" s="16" t="s">
        <v>329</v>
      </c>
      <c r="G87" s="16" t="s">
        <v>330</v>
      </c>
      <c r="H87" s="16" t="str">
        <f>""&amp;MID(A87,4,2)</f>
        <v>04</v>
      </c>
      <c r="I87" s="17" t="s">
        <v>319</v>
      </c>
      <c r="J87" s="17" t="s">
        <v>420</v>
      </c>
      <c r="K87" s="18" t="s">
        <v>517</v>
      </c>
      <c r="L87" s="19">
        <v>0</v>
      </c>
      <c r="M87" s="16" t="str">
        <f>DEC2HEX(O87,3)</f>
        <v>006</v>
      </c>
      <c r="N87" s="16" t="str">
        <f>_xlfn.CONCAT(G87," ",H87," ",I87," ",J87," ",K87," ",L87," ",M87)</f>
        <v>GL 04 00 02 B7 0 006</v>
      </c>
      <c r="O87" s="14">
        <v>6</v>
      </c>
      <c r="P87" s="11" t="s">
        <v>6</v>
      </c>
    </row>
    <row r="88" spans="1:16" s="12" customFormat="1" ht="15.75">
      <c r="A88" s="26" t="s">
        <v>516</v>
      </c>
      <c r="B88" s="14" t="s">
        <v>327</v>
      </c>
      <c r="C88" s="14">
        <v>5</v>
      </c>
      <c r="D88" s="15" t="s">
        <v>570</v>
      </c>
      <c r="E88" s="15" t="s">
        <v>189</v>
      </c>
      <c r="F88" s="16" t="s">
        <v>329</v>
      </c>
      <c r="G88" s="16" t="s">
        <v>330</v>
      </c>
      <c r="H88" s="16" t="str">
        <f>""&amp;MID(A88,4,2)</f>
        <v>04</v>
      </c>
      <c r="I88" s="17" t="s">
        <v>319</v>
      </c>
      <c r="J88" s="17" t="s">
        <v>331</v>
      </c>
      <c r="K88" s="18" t="s">
        <v>517</v>
      </c>
      <c r="L88" s="19">
        <v>0</v>
      </c>
      <c r="M88" s="16" t="str">
        <f>DEC2HEX(O88,3)</f>
        <v>007</v>
      </c>
      <c r="N88" s="16" t="str">
        <f>_xlfn.CONCAT(G88," ",H88," ",I88," ",J88," ",K88," ",L88," ",M88)</f>
        <v>GL 04 00 01 B7 0 007</v>
      </c>
      <c r="O88" s="14">
        <v>7</v>
      </c>
      <c r="P88" s="11" t="s">
        <v>6</v>
      </c>
    </row>
    <row r="89" spans="1:16" s="12" customFormat="1" ht="15.75">
      <c r="A89" s="26" t="s">
        <v>516</v>
      </c>
      <c r="B89" s="14" t="s">
        <v>327</v>
      </c>
      <c r="C89" s="14">
        <v>6</v>
      </c>
      <c r="D89" s="15" t="s">
        <v>571</v>
      </c>
      <c r="E89" s="15" t="s">
        <v>193</v>
      </c>
      <c r="F89" s="16" t="s">
        <v>329</v>
      </c>
      <c r="G89" s="16" t="s">
        <v>330</v>
      </c>
      <c r="H89" s="16" t="str">
        <f>""&amp;MID(A89,4,2)</f>
        <v>04</v>
      </c>
      <c r="I89" s="17" t="s">
        <v>319</v>
      </c>
      <c r="J89" s="17" t="s">
        <v>331</v>
      </c>
      <c r="K89" s="18" t="s">
        <v>517</v>
      </c>
      <c r="L89" s="19">
        <v>0</v>
      </c>
      <c r="M89" s="16" t="str">
        <f>DEC2HEX(O89,3)</f>
        <v>008</v>
      </c>
      <c r="N89" s="16" t="str">
        <f>_xlfn.CONCAT(G89," ",H89," ",I89," ",J89," ",K89," ",L89," ",M89)</f>
        <v>GL 04 00 01 B7 0 008</v>
      </c>
      <c r="O89" s="14">
        <v>8</v>
      </c>
      <c r="P89" s="11" t="s">
        <v>6</v>
      </c>
    </row>
    <row r="90" spans="1:16" s="12" customFormat="1" ht="15.75">
      <c r="A90" s="26" t="s">
        <v>516</v>
      </c>
      <c r="B90" s="14" t="s">
        <v>327</v>
      </c>
      <c r="C90" s="14">
        <v>7</v>
      </c>
      <c r="D90" s="15" t="s">
        <v>570</v>
      </c>
      <c r="E90" s="15" t="s">
        <v>254</v>
      </c>
      <c r="F90" s="16" t="s">
        <v>329</v>
      </c>
      <c r="G90" s="16" t="s">
        <v>330</v>
      </c>
      <c r="H90" s="16" t="str">
        <f>""&amp;MID(A90,4,2)</f>
        <v>04</v>
      </c>
      <c r="I90" s="17" t="s">
        <v>319</v>
      </c>
      <c r="J90" s="17" t="s">
        <v>420</v>
      </c>
      <c r="K90" s="18" t="s">
        <v>517</v>
      </c>
      <c r="L90" s="19">
        <v>0</v>
      </c>
      <c r="M90" s="16" t="str">
        <f>DEC2HEX(O90,3)</f>
        <v>007</v>
      </c>
      <c r="N90" s="16" t="str">
        <f>_xlfn.CONCAT(G90," ",H90," ",I90," ",J90," ",K90," ",L90," ",M90)</f>
        <v>GL 04 00 02 B7 0 007</v>
      </c>
      <c r="O90" s="14">
        <v>7</v>
      </c>
      <c r="P90" s="11" t="s">
        <v>6</v>
      </c>
    </row>
    <row r="91" spans="1:16" s="12" customFormat="1" ht="15.75">
      <c r="A91" s="26" t="s">
        <v>516</v>
      </c>
      <c r="B91" s="14" t="s">
        <v>327</v>
      </c>
      <c r="C91" s="14">
        <v>8</v>
      </c>
      <c r="D91" s="15" t="s">
        <v>571</v>
      </c>
      <c r="E91" s="15" t="s">
        <v>527</v>
      </c>
      <c r="F91" s="16" t="s">
        <v>329</v>
      </c>
      <c r="G91" s="16" t="s">
        <v>330</v>
      </c>
      <c r="H91" s="16" t="str">
        <f>""&amp;MID(A91,4,2)</f>
        <v>04</v>
      </c>
      <c r="I91" s="17" t="s">
        <v>319</v>
      </c>
      <c r="J91" s="17" t="s">
        <v>420</v>
      </c>
      <c r="K91" s="18" t="s">
        <v>517</v>
      </c>
      <c r="L91" s="19">
        <v>0</v>
      </c>
      <c r="M91" s="16" t="str">
        <f>DEC2HEX(O91,3)</f>
        <v>008</v>
      </c>
      <c r="N91" s="16" t="str">
        <f>_xlfn.CONCAT(G91," ",H91," ",I91," ",J91," ",K91," ",L91," ",M91)</f>
        <v>GL 04 00 02 B7 0 008</v>
      </c>
      <c r="O91" s="14">
        <v>8</v>
      </c>
      <c r="P91" s="11" t="s">
        <v>6</v>
      </c>
    </row>
    <row r="92" spans="1:16" s="12" customFormat="1" ht="15.75">
      <c r="A92" s="26" t="s">
        <v>516</v>
      </c>
      <c r="B92" s="14" t="s">
        <v>360</v>
      </c>
      <c r="C92" s="14">
        <v>9</v>
      </c>
      <c r="D92" s="15" t="s">
        <v>576</v>
      </c>
      <c r="E92" s="15" t="s">
        <v>205</v>
      </c>
      <c r="F92" s="16" t="s">
        <v>329</v>
      </c>
      <c r="G92" s="16" t="s">
        <v>330</v>
      </c>
      <c r="H92" s="16" t="str">
        <f>""&amp;MID(A92,4,2)</f>
        <v>04</v>
      </c>
      <c r="I92" s="17" t="s">
        <v>319</v>
      </c>
      <c r="J92" s="17" t="s">
        <v>331</v>
      </c>
      <c r="K92" s="18" t="s">
        <v>517</v>
      </c>
      <c r="L92" s="19">
        <v>0</v>
      </c>
      <c r="M92" s="16" t="str">
        <f>DEC2HEX(O92,3)</f>
        <v>009</v>
      </c>
      <c r="N92" s="16" t="str">
        <f>_xlfn.CONCAT(G92," ",H92," ",I92," ",J92," ",K92," ",L92," ",M92)</f>
        <v>GL 04 00 01 B7 0 009</v>
      </c>
      <c r="O92" s="14">
        <v>9</v>
      </c>
      <c r="P92" s="11" t="s">
        <v>6</v>
      </c>
    </row>
    <row r="93" spans="1:16" s="12" customFormat="1" ht="15.75">
      <c r="A93" s="26" t="s">
        <v>516</v>
      </c>
      <c r="B93" s="14" t="s">
        <v>360</v>
      </c>
      <c r="C93" s="14">
        <v>10</v>
      </c>
      <c r="D93" s="15" t="s">
        <v>577</v>
      </c>
      <c r="E93" s="15" t="s">
        <v>207</v>
      </c>
      <c r="F93" s="16" t="s">
        <v>329</v>
      </c>
      <c r="G93" s="16" t="s">
        <v>330</v>
      </c>
      <c r="H93" s="16" t="str">
        <f>""&amp;MID(A93,4,2)</f>
        <v>04</v>
      </c>
      <c r="I93" s="17" t="s">
        <v>319</v>
      </c>
      <c r="J93" s="17" t="s">
        <v>331</v>
      </c>
      <c r="K93" s="18" t="s">
        <v>517</v>
      </c>
      <c r="L93" s="19">
        <v>0</v>
      </c>
      <c r="M93" s="16" t="str">
        <f>DEC2HEX(O93,3)</f>
        <v>00A</v>
      </c>
      <c r="N93" s="16" t="str">
        <f>_xlfn.CONCAT(G93," ",H93," ",I93," ",J93," ",K93," ",L93," ",M93)</f>
        <v>GL 04 00 01 B7 0 00A</v>
      </c>
      <c r="O93" s="14">
        <v>10</v>
      </c>
      <c r="P93" s="11" t="s">
        <v>6</v>
      </c>
    </row>
    <row r="94" spans="1:16" s="12" customFormat="1" ht="15.75">
      <c r="A94" s="26" t="s">
        <v>516</v>
      </c>
      <c r="B94" s="14" t="s">
        <v>360</v>
      </c>
      <c r="C94" s="14">
        <v>11</v>
      </c>
      <c r="D94" s="15" t="s">
        <v>576</v>
      </c>
      <c r="E94" s="15" t="s">
        <v>258</v>
      </c>
      <c r="F94" s="16" t="s">
        <v>329</v>
      </c>
      <c r="G94" s="16" t="s">
        <v>330</v>
      </c>
      <c r="H94" s="16" t="str">
        <f>""&amp;MID(A94,4,2)</f>
        <v>04</v>
      </c>
      <c r="I94" s="17" t="s">
        <v>319</v>
      </c>
      <c r="J94" s="17" t="s">
        <v>420</v>
      </c>
      <c r="K94" s="18" t="s">
        <v>517</v>
      </c>
      <c r="L94" s="19">
        <v>0</v>
      </c>
      <c r="M94" s="16" t="str">
        <f>DEC2HEX(O94,3)</f>
        <v>009</v>
      </c>
      <c r="N94" s="16" t="str">
        <f>_xlfn.CONCAT(G94," ",H94," ",I94," ",J94," ",K94," ",L94," ",M94)</f>
        <v>GL 04 00 02 B7 0 009</v>
      </c>
      <c r="O94" s="14">
        <v>9</v>
      </c>
      <c r="P94" s="11" t="s">
        <v>6</v>
      </c>
    </row>
    <row r="95" spans="1:16" s="12" customFormat="1" ht="15.75">
      <c r="A95" s="26" t="s">
        <v>516</v>
      </c>
      <c r="B95" s="14" t="s">
        <v>360</v>
      </c>
      <c r="C95" s="14">
        <v>12</v>
      </c>
      <c r="D95" s="15" t="s">
        <v>577</v>
      </c>
      <c r="E95" s="15" t="s">
        <v>530</v>
      </c>
      <c r="F95" s="16" t="s">
        <v>329</v>
      </c>
      <c r="G95" s="16" t="s">
        <v>330</v>
      </c>
      <c r="H95" s="16" t="str">
        <f>""&amp;MID(A95,4,2)</f>
        <v>04</v>
      </c>
      <c r="I95" s="17" t="s">
        <v>319</v>
      </c>
      <c r="J95" s="17" t="s">
        <v>420</v>
      </c>
      <c r="K95" s="18" t="s">
        <v>517</v>
      </c>
      <c r="L95" s="19">
        <v>0</v>
      </c>
      <c r="M95" s="16" t="str">
        <f>DEC2HEX(O95,3)</f>
        <v>00A</v>
      </c>
      <c r="N95" s="16" t="str">
        <f>_xlfn.CONCAT(G95," ",H95," ",I95," ",J95," ",K95," ",L95," ",M95)</f>
        <v>GL 04 00 02 B7 0 00A</v>
      </c>
      <c r="O95" s="14">
        <v>10</v>
      </c>
      <c r="P95" s="11" t="s">
        <v>6</v>
      </c>
    </row>
    <row r="96" spans="1:16" s="12" customFormat="1" ht="15.75">
      <c r="A96" s="26" t="s">
        <v>516</v>
      </c>
      <c r="B96" s="14" t="s">
        <v>360</v>
      </c>
      <c r="C96" s="14">
        <v>13</v>
      </c>
      <c r="D96" s="15" t="s">
        <v>603</v>
      </c>
      <c r="E96" s="15" t="s">
        <v>209</v>
      </c>
      <c r="F96" s="16" t="s">
        <v>329</v>
      </c>
      <c r="G96" s="16" t="s">
        <v>330</v>
      </c>
      <c r="H96" s="16" t="str">
        <f>""&amp;MID(A96,4,2)</f>
        <v>04</v>
      </c>
      <c r="I96" s="17" t="s">
        <v>319</v>
      </c>
      <c r="J96" s="17" t="s">
        <v>331</v>
      </c>
      <c r="K96" s="18" t="s">
        <v>517</v>
      </c>
      <c r="L96" s="19">
        <v>0</v>
      </c>
      <c r="M96" s="16" t="str">
        <f>DEC2HEX(O96,3)</f>
        <v>00B</v>
      </c>
      <c r="N96" s="16" t="str">
        <f>_xlfn.CONCAT(G96," ",H96," ",I96," ",J96," ",K96," ",L96," ",M96)</f>
        <v>GL 04 00 01 B7 0 00B</v>
      </c>
      <c r="O96" s="14">
        <v>11</v>
      </c>
      <c r="P96" s="11" t="s">
        <v>6</v>
      </c>
    </row>
    <row r="97" spans="1:16" s="12" customFormat="1" ht="15.75">
      <c r="A97" s="26" t="s">
        <v>516</v>
      </c>
      <c r="B97" s="14" t="s">
        <v>360</v>
      </c>
      <c r="C97" s="14">
        <v>14</v>
      </c>
      <c r="D97" s="15" t="s">
        <v>604</v>
      </c>
      <c r="E97" s="15" t="s">
        <v>211</v>
      </c>
      <c r="F97" s="16" t="s">
        <v>329</v>
      </c>
      <c r="G97" s="16" t="s">
        <v>330</v>
      </c>
      <c r="H97" s="16" t="str">
        <f>""&amp;MID(A97,4,2)</f>
        <v>04</v>
      </c>
      <c r="I97" s="17" t="s">
        <v>319</v>
      </c>
      <c r="J97" s="17" t="s">
        <v>331</v>
      </c>
      <c r="K97" s="18" t="s">
        <v>517</v>
      </c>
      <c r="L97" s="19">
        <v>0</v>
      </c>
      <c r="M97" s="16" t="str">
        <f>DEC2HEX(O97,3)</f>
        <v>00C</v>
      </c>
      <c r="N97" s="16" t="str">
        <f>_xlfn.CONCAT(G97," ",H97," ",I97," ",J97," ",K97," ",L97," ",M97)</f>
        <v>GL 04 00 01 B7 0 00C</v>
      </c>
      <c r="O97" s="14">
        <v>12</v>
      </c>
      <c r="P97" s="11" t="s">
        <v>6</v>
      </c>
    </row>
    <row r="98" spans="1:16" s="12" customFormat="1" ht="15.75">
      <c r="A98" s="26" t="s">
        <v>516</v>
      </c>
      <c r="B98" s="14" t="s">
        <v>360</v>
      </c>
      <c r="C98" s="14">
        <v>15</v>
      </c>
      <c r="D98" s="15" t="s">
        <v>611</v>
      </c>
      <c r="E98" s="15" t="s">
        <v>213</v>
      </c>
      <c r="F98" s="16" t="s">
        <v>329</v>
      </c>
      <c r="G98" s="16" t="s">
        <v>330</v>
      </c>
      <c r="H98" s="16" t="str">
        <f>""&amp;MID(A98,4,2)</f>
        <v>04</v>
      </c>
      <c r="I98" s="17" t="s">
        <v>319</v>
      </c>
      <c r="J98" s="17" t="s">
        <v>331</v>
      </c>
      <c r="K98" s="18" t="s">
        <v>517</v>
      </c>
      <c r="L98" s="19">
        <v>0</v>
      </c>
      <c r="M98" s="16" t="str">
        <f>DEC2HEX(O98,3)</f>
        <v>00D</v>
      </c>
      <c r="N98" s="16" t="str">
        <f>_xlfn.CONCAT(G98," ",H98," ",I98," ",J98," ",K98," ",L98," ",M98)</f>
        <v>GL 04 00 01 B7 0 00D</v>
      </c>
      <c r="O98" s="14">
        <v>13</v>
      </c>
      <c r="P98" s="11" t="s">
        <v>6</v>
      </c>
    </row>
    <row r="99" spans="1:16" s="12" customFormat="1" ht="15.75">
      <c r="A99" s="26" t="s">
        <v>516</v>
      </c>
      <c r="B99" s="14" t="s">
        <v>360</v>
      </c>
      <c r="C99" s="14">
        <v>16</v>
      </c>
      <c r="D99" s="15" t="s">
        <v>612</v>
      </c>
      <c r="E99" s="15" t="s">
        <v>215</v>
      </c>
      <c r="F99" s="16" t="s">
        <v>329</v>
      </c>
      <c r="G99" s="16" t="s">
        <v>330</v>
      </c>
      <c r="H99" s="16" t="str">
        <f>""&amp;MID(A99,4,2)</f>
        <v>04</v>
      </c>
      <c r="I99" s="17" t="s">
        <v>319</v>
      </c>
      <c r="J99" s="17" t="s">
        <v>331</v>
      </c>
      <c r="K99" s="18" t="s">
        <v>517</v>
      </c>
      <c r="L99" s="19">
        <v>0</v>
      </c>
      <c r="M99" s="16" t="str">
        <f>DEC2HEX(O99,3)</f>
        <v>00E</v>
      </c>
      <c r="N99" s="16" t="str">
        <f>_xlfn.CONCAT(G99," ",H99," ",I99," ",J99," ",K99," ",L99," ",M99)</f>
        <v>GL 04 00 01 B7 0 00E</v>
      </c>
      <c r="O99" s="14">
        <v>14</v>
      </c>
      <c r="P99" s="11" t="s">
        <v>6</v>
      </c>
    </row>
    <row r="100" spans="1:16" s="12" customFormat="1" ht="15.75">
      <c r="A100" s="26" t="s">
        <v>520</v>
      </c>
      <c r="B100" s="14" t="s">
        <v>360</v>
      </c>
      <c r="C100" s="14">
        <v>1</v>
      </c>
      <c r="D100" s="15" t="s">
        <v>578</v>
      </c>
      <c r="E100" s="15" t="s">
        <v>217</v>
      </c>
      <c r="F100" s="16" t="s">
        <v>329</v>
      </c>
      <c r="G100" s="16" t="s">
        <v>330</v>
      </c>
      <c r="H100" s="16" t="str">
        <f>""&amp;MID(A100,4,2)</f>
        <v>04</v>
      </c>
      <c r="I100" s="17" t="s">
        <v>319</v>
      </c>
      <c r="J100" s="17" t="s">
        <v>331</v>
      </c>
      <c r="K100" s="18" t="s">
        <v>517</v>
      </c>
      <c r="L100" s="19">
        <v>0</v>
      </c>
      <c r="M100" s="16" t="str">
        <f>DEC2HEX(O100,3)</f>
        <v>00F</v>
      </c>
      <c r="N100" s="16" t="str">
        <f>_xlfn.CONCAT(G100," ",H100," ",I100," ",J100," ",K100," ",L100," ",M100)</f>
        <v>GL 04 00 01 B7 0 00F</v>
      </c>
      <c r="O100" s="14">
        <v>15</v>
      </c>
      <c r="P100" s="11" t="s">
        <v>6</v>
      </c>
    </row>
    <row r="101" spans="1:16" s="12" customFormat="1" ht="15.75">
      <c r="A101" s="26" t="s">
        <v>520</v>
      </c>
      <c r="B101" s="14" t="s">
        <v>360</v>
      </c>
      <c r="C101" s="14">
        <v>2</v>
      </c>
      <c r="D101" s="15" t="s">
        <v>579</v>
      </c>
      <c r="E101" s="15" t="s">
        <v>219</v>
      </c>
      <c r="F101" s="16" t="s">
        <v>329</v>
      </c>
      <c r="G101" s="16" t="s">
        <v>330</v>
      </c>
      <c r="H101" s="16" t="str">
        <f>""&amp;MID(A101,4,2)</f>
        <v>04</v>
      </c>
      <c r="I101" s="17" t="s">
        <v>319</v>
      </c>
      <c r="J101" s="17" t="s">
        <v>331</v>
      </c>
      <c r="K101" s="18" t="s">
        <v>517</v>
      </c>
      <c r="L101" s="19">
        <v>0</v>
      </c>
      <c r="M101" s="16" t="str">
        <f>DEC2HEX(O101,3)</f>
        <v>010</v>
      </c>
      <c r="N101" s="16" t="str">
        <f>_xlfn.CONCAT(G101," ",H101," ",I101," ",J101," ",K101," ",L101," ",M101)</f>
        <v>GL 04 00 01 B7 0 010</v>
      </c>
      <c r="O101" s="14">
        <v>16</v>
      </c>
      <c r="P101" s="11" t="s">
        <v>6</v>
      </c>
    </row>
    <row r="102" spans="1:16" s="12" customFormat="1" ht="15.75">
      <c r="A102" s="26" t="s">
        <v>520</v>
      </c>
      <c r="B102" s="14" t="s">
        <v>360</v>
      </c>
      <c r="C102" s="14">
        <v>3</v>
      </c>
      <c r="D102" s="15" t="s">
        <v>578</v>
      </c>
      <c r="E102" s="15" t="s">
        <v>524</v>
      </c>
      <c r="F102" s="16" t="s">
        <v>329</v>
      </c>
      <c r="G102" s="16" t="s">
        <v>330</v>
      </c>
      <c r="H102" s="16" t="str">
        <f>""&amp;MID(A102,4,2)</f>
        <v>04</v>
      </c>
      <c r="I102" s="17" t="s">
        <v>319</v>
      </c>
      <c r="J102" s="17" t="s">
        <v>420</v>
      </c>
      <c r="K102" s="18" t="s">
        <v>517</v>
      </c>
      <c r="L102" s="19">
        <v>0</v>
      </c>
      <c r="M102" s="16" t="str">
        <f>DEC2HEX(O102,3)</f>
        <v>00F</v>
      </c>
      <c r="N102" s="16" t="str">
        <f>_xlfn.CONCAT(G102," ",H102," ",I102," ",J102," ",K102," ",L102," ",M102)</f>
        <v>GL 04 00 02 B7 0 00F</v>
      </c>
      <c r="O102" s="14">
        <v>15</v>
      </c>
      <c r="P102" s="11" t="s">
        <v>6</v>
      </c>
    </row>
    <row r="103" spans="1:16" s="12" customFormat="1" ht="15.75">
      <c r="A103" s="26" t="s">
        <v>520</v>
      </c>
      <c r="B103" s="14" t="s">
        <v>360</v>
      </c>
      <c r="C103" s="14">
        <v>4</v>
      </c>
      <c r="D103" s="15" t="s">
        <v>579</v>
      </c>
      <c r="E103" s="15" t="s">
        <v>532</v>
      </c>
      <c r="F103" s="16" t="s">
        <v>329</v>
      </c>
      <c r="G103" s="16" t="s">
        <v>330</v>
      </c>
      <c r="H103" s="16" t="str">
        <f>""&amp;MID(A103,4,2)</f>
        <v>04</v>
      </c>
      <c r="I103" s="17" t="s">
        <v>319</v>
      </c>
      <c r="J103" s="17" t="s">
        <v>420</v>
      </c>
      <c r="K103" s="18" t="s">
        <v>517</v>
      </c>
      <c r="L103" s="19">
        <v>0</v>
      </c>
      <c r="M103" s="16" t="str">
        <f>DEC2HEX(O103,3)</f>
        <v>010</v>
      </c>
      <c r="N103" s="16" t="str">
        <f>_xlfn.CONCAT(G103," ",H103," ",I103," ",J103," ",K103," ",L103," ",M103)</f>
        <v>GL 04 00 02 B7 0 010</v>
      </c>
      <c r="O103" s="14">
        <v>16</v>
      </c>
      <c r="P103" s="11" t="s">
        <v>6</v>
      </c>
    </row>
    <row r="104" spans="1:16" s="12" customFormat="1" ht="15.75">
      <c r="A104" s="26" t="s">
        <v>520</v>
      </c>
      <c r="B104" s="14" t="s">
        <v>360</v>
      </c>
      <c r="C104" s="14">
        <v>5</v>
      </c>
      <c r="D104" s="15" t="s">
        <v>580</v>
      </c>
      <c r="E104" s="15" t="s">
        <v>221</v>
      </c>
      <c r="F104" s="16" t="s">
        <v>329</v>
      </c>
      <c r="G104" s="16" t="s">
        <v>330</v>
      </c>
      <c r="H104" s="16" t="str">
        <f>""&amp;MID(A104,4,2)</f>
        <v>04</v>
      </c>
      <c r="I104" s="17" t="s">
        <v>319</v>
      </c>
      <c r="J104" s="17" t="s">
        <v>331</v>
      </c>
      <c r="K104" s="18" t="s">
        <v>517</v>
      </c>
      <c r="L104" s="19" t="s">
        <v>368</v>
      </c>
      <c r="M104" s="16" t="str">
        <f>DEC2HEX(O104,3)</f>
        <v>011</v>
      </c>
      <c r="N104" s="16" t="str">
        <f>_xlfn.CONCAT(G104," ",H104," ",I104," ",J104," ",K104," ",L104," ",M104)</f>
        <v>GL 04 00 01 B7 A 011</v>
      </c>
      <c r="O104" s="14">
        <v>17</v>
      </c>
      <c r="P104" s="11" t="s">
        <v>6</v>
      </c>
    </row>
    <row r="105" spans="1:16" s="12" customFormat="1" ht="15.75">
      <c r="A105" s="26" t="s">
        <v>520</v>
      </c>
      <c r="B105" s="14" t="s">
        <v>360</v>
      </c>
      <c r="C105" s="14">
        <v>6</v>
      </c>
      <c r="D105" s="15" t="s">
        <v>581</v>
      </c>
      <c r="E105" s="15" t="s">
        <v>223</v>
      </c>
      <c r="F105" s="16" t="s">
        <v>329</v>
      </c>
      <c r="G105" s="16" t="s">
        <v>330</v>
      </c>
      <c r="H105" s="16" t="str">
        <f>""&amp;MID(A105,4,2)</f>
        <v>04</v>
      </c>
      <c r="I105" s="17" t="s">
        <v>319</v>
      </c>
      <c r="J105" s="17" t="s">
        <v>331</v>
      </c>
      <c r="K105" s="18" t="s">
        <v>517</v>
      </c>
      <c r="L105" s="19" t="s">
        <v>368</v>
      </c>
      <c r="M105" s="16" t="str">
        <f>DEC2HEX(O105,3)</f>
        <v>012</v>
      </c>
      <c r="N105" s="16" t="str">
        <f>_xlfn.CONCAT(G105," ",H105," ",I105," ",J105," ",K105," ",L105," ",M105)</f>
        <v>GL 04 00 01 B7 A 012</v>
      </c>
      <c r="O105" s="14">
        <v>18</v>
      </c>
      <c r="P105" s="11" t="s">
        <v>6</v>
      </c>
    </row>
    <row r="106" spans="1:16" s="12" customFormat="1" ht="15.75">
      <c r="A106" s="26" t="s">
        <v>520</v>
      </c>
      <c r="B106" s="14" t="s">
        <v>360</v>
      </c>
      <c r="C106" s="14">
        <v>7</v>
      </c>
      <c r="D106" s="15" t="s">
        <v>580</v>
      </c>
      <c r="E106" s="15" t="s">
        <v>272</v>
      </c>
      <c r="F106" s="16" t="s">
        <v>329</v>
      </c>
      <c r="G106" s="16" t="s">
        <v>330</v>
      </c>
      <c r="H106" s="16" t="str">
        <f>""&amp;MID(A106,4,2)</f>
        <v>04</v>
      </c>
      <c r="I106" s="17" t="s">
        <v>319</v>
      </c>
      <c r="J106" s="17" t="s">
        <v>420</v>
      </c>
      <c r="K106" s="18" t="s">
        <v>517</v>
      </c>
      <c r="L106" s="19" t="s">
        <v>368</v>
      </c>
      <c r="M106" s="16" t="str">
        <f>DEC2HEX(O106,3)</f>
        <v>011</v>
      </c>
      <c r="N106" s="16" t="str">
        <f>_xlfn.CONCAT(G106," ",H106," ",I106," ",J106," ",K106," ",L106," ",M106)</f>
        <v>GL 04 00 02 B7 A 011</v>
      </c>
      <c r="O106" s="14">
        <v>17</v>
      </c>
      <c r="P106" s="11" t="s">
        <v>6</v>
      </c>
    </row>
    <row r="107" spans="1:16" s="12" customFormat="1" ht="15.75">
      <c r="A107" s="26" t="s">
        <v>520</v>
      </c>
      <c r="B107" s="14" t="s">
        <v>360</v>
      </c>
      <c r="C107" s="14">
        <v>8</v>
      </c>
      <c r="D107" s="15" t="s">
        <v>581</v>
      </c>
      <c r="E107" s="15" t="s">
        <v>533</v>
      </c>
      <c r="F107" s="16" t="s">
        <v>329</v>
      </c>
      <c r="G107" s="16" t="s">
        <v>330</v>
      </c>
      <c r="H107" s="16" t="str">
        <f>""&amp;MID(A107,4,2)</f>
        <v>04</v>
      </c>
      <c r="I107" s="17" t="s">
        <v>319</v>
      </c>
      <c r="J107" s="17" t="s">
        <v>420</v>
      </c>
      <c r="K107" s="18" t="s">
        <v>517</v>
      </c>
      <c r="L107" s="19" t="s">
        <v>368</v>
      </c>
      <c r="M107" s="16" t="str">
        <f>DEC2HEX(O107,3)</f>
        <v>012</v>
      </c>
      <c r="N107" s="16" t="str">
        <f>_xlfn.CONCAT(G107," ",H107," ",I107," ",J107," ",K107," ",L107," ",M107)</f>
        <v>GL 04 00 02 B7 A 012</v>
      </c>
      <c r="O107" s="14">
        <v>18</v>
      </c>
      <c r="P107" s="11" t="s">
        <v>6</v>
      </c>
    </row>
    <row r="108" spans="1:16" s="12" customFormat="1" ht="15.75">
      <c r="A108" s="26" t="s">
        <v>521</v>
      </c>
      <c r="B108" s="14" t="s">
        <v>360</v>
      </c>
      <c r="C108" s="14">
        <v>1</v>
      </c>
      <c r="D108" s="15" t="s">
        <v>582</v>
      </c>
      <c r="E108" s="15" t="s">
        <v>225</v>
      </c>
      <c r="F108" s="16" t="s">
        <v>329</v>
      </c>
      <c r="G108" s="16" t="s">
        <v>330</v>
      </c>
      <c r="H108" s="16" t="str">
        <f>""&amp;MID(A108,4,2)</f>
        <v>04</v>
      </c>
      <c r="I108" s="17" t="s">
        <v>319</v>
      </c>
      <c r="J108" s="17" t="s">
        <v>331</v>
      </c>
      <c r="K108" s="18" t="s">
        <v>517</v>
      </c>
      <c r="L108" s="19">
        <v>0</v>
      </c>
      <c r="M108" s="16" t="str">
        <f>DEC2HEX(O108,3)</f>
        <v>013</v>
      </c>
      <c r="N108" s="16" t="str">
        <f>_xlfn.CONCAT(G108," ",H108," ",I108," ",J108," ",K108," ",L108," ",M108)</f>
        <v>GL 04 00 01 B7 0 013</v>
      </c>
      <c r="O108" s="14">
        <v>19</v>
      </c>
      <c r="P108" s="11" t="s">
        <v>6</v>
      </c>
    </row>
    <row r="109" spans="1:16" s="12" customFormat="1" ht="15.75">
      <c r="A109" s="26" t="s">
        <v>521</v>
      </c>
      <c r="B109" s="14" t="s">
        <v>360</v>
      </c>
      <c r="C109" s="14">
        <v>2</v>
      </c>
      <c r="D109" s="15" t="s">
        <v>583</v>
      </c>
      <c r="E109" s="15" t="s">
        <v>233</v>
      </c>
      <c r="F109" s="16" t="s">
        <v>329</v>
      </c>
      <c r="G109" s="16" t="s">
        <v>330</v>
      </c>
      <c r="H109" s="16" t="str">
        <f>""&amp;MID(A109,4,2)</f>
        <v>04</v>
      </c>
      <c r="I109" s="17" t="s">
        <v>319</v>
      </c>
      <c r="J109" s="17" t="s">
        <v>331</v>
      </c>
      <c r="K109" s="18" t="s">
        <v>517</v>
      </c>
      <c r="L109" s="19">
        <v>0</v>
      </c>
      <c r="M109" s="16" t="str">
        <f>DEC2HEX(O109,3)</f>
        <v>014</v>
      </c>
      <c r="N109" s="16" t="str">
        <f>_xlfn.CONCAT(G109," ",H109," ",I109," ",J109," ",K109," ",L109," ",M109)</f>
        <v>GL 04 00 01 B7 0 014</v>
      </c>
      <c r="O109" s="14">
        <v>20</v>
      </c>
      <c r="P109" s="11" t="s">
        <v>6</v>
      </c>
    </row>
    <row r="110" spans="1:16" s="12" customFormat="1" ht="15.75">
      <c r="A110" s="26" t="s">
        <v>521</v>
      </c>
      <c r="B110" s="14" t="s">
        <v>360</v>
      </c>
      <c r="C110" s="14">
        <v>3</v>
      </c>
      <c r="D110" s="15" t="s">
        <v>584</v>
      </c>
      <c r="E110" s="15" t="s">
        <v>229</v>
      </c>
      <c r="F110" s="16" t="s">
        <v>329</v>
      </c>
      <c r="G110" s="16" t="s">
        <v>330</v>
      </c>
      <c r="H110" s="16" t="str">
        <f>""&amp;MID(A110,4,2)</f>
        <v>04</v>
      </c>
      <c r="I110" s="17" t="s">
        <v>319</v>
      </c>
      <c r="J110" s="17" t="s">
        <v>331</v>
      </c>
      <c r="K110" s="18" t="s">
        <v>517</v>
      </c>
      <c r="L110" s="19">
        <v>0</v>
      </c>
      <c r="M110" s="16" t="str">
        <f>DEC2HEX(O110,3)</f>
        <v>015</v>
      </c>
      <c r="N110" s="16" t="str">
        <f>_xlfn.CONCAT(G110," ",H110," ",I110," ",J110," ",K110," ",L110," ",M110)</f>
        <v>GL 04 00 01 B7 0 015</v>
      </c>
      <c r="O110" s="14">
        <v>21</v>
      </c>
      <c r="P110" s="11" t="s">
        <v>6</v>
      </c>
    </row>
    <row r="111" spans="1:16" s="12" customFormat="1" ht="15.75">
      <c r="A111" s="26" t="s">
        <v>521</v>
      </c>
      <c r="B111" s="14" t="s">
        <v>360</v>
      </c>
      <c r="C111" s="14">
        <v>4</v>
      </c>
      <c r="D111" s="15" t="s">
        <v>585</v>
      </c>
      <c r="E111" s="15" t="s">
        <v>237</v>
      </c>
      <c r="F111" s="16" t="s">
        <v>329</v>
      </c>
      <c r="G111" s="16" t="s">
        <v>330</v>
      </c>
      <c r="H111" s="16" t="str">
        <f>""&amp;MID(A111,4,2)</f>
        <v>04</v>
      </c>
      <c r="I111" s="17" t="s">
        <v>319</v>
      </c>
      <c r="J111" s="17" t="s">
        <v>331</v>
      </c>
      <c r="K111" s="18" t="s">
        <v>517</v>
      </c>
      <c r="L111" s="19">
        <v>0</v>
      </c>
      <c r="M111" s="16" t="str">
        <f>DEC2HEX(O111,3)</f>
        <v>016</v>
      </c>
      <c r="N111" s="16" t="str">
        <f>_xlfn.CONCAT(G111," ",H111," ",I111," ",J111," ",K111," ",L111," ",M111)</f>
        <v>GL 04 00 01 B7 0 016</v>
      </c>
      <c r="O111" s="14">
        <v>22</v>
      </c>
      <c r="P111" s="11" t="s">
        <v>6</v>
      </c>
    </row>
    <row r="112" spans="1:16" s="12" customFormat="1" ht="15.75">
      <c r="A112" s="26" t="s">
        <v>521</v>
      </c>
      <c r="B112" s="14" t="s">
        <v>360</v>
      </c>
      <c r="C112" s="14">
        <v>5</v>
      </c>
      <c r="D112" s="15" t="s">
        <v>582</v>
      </c>
      <c r="E112" s="15" t="s">
        <v>282</v>
      </c>
      <c r="F112" s="16" t="s">
        <v>329</v>
      </c>
      <c r="G112" s="16" t="s">
        <v>330</v>
      </c>
      <c r="H112" s="16" t="str">
        <f>""&amp;MID(A112,4,2)</f>
        <v>04</v>
      </c>
      <c r="I112" s="17" t="s">
        <v>319</v>
      </c>
      <c r="J112" s="17" t="s">
        <v>420</v>
      </c>
      <c r="K112" s="18" t="s">
        <v>517</v>
      </c>
      <c r="L112" s="19">
        <v>0</v>
      </c>
      <c r="M112" s="16" t="str">
        <f>DEC2HEX(O112,3)</f>
        <v>013</v>
      </c>
      <c r="N112" s="16" t="str">
        <f>_xlfn.CONCAT(G112," ",H112," ",I112," ",J112," ",K112," ",L112," ",M112)</f>
        <v>GL 04 00 02 B7 0 013</v>
      </c>
      <c r="O112" s="14">
        <v>19</v>
      </c>
      <c r="P112" s="11" t="s">
        <v>6</v>
      </c>
    </row>
    <row r="113" spans="1:16" s="12" customFormat="1" ht="15.75">
      <c r="A113" s="26" t="s">
        <v>521</v>
      </c>
      <c r="B113" s="14" t="s">
        <v>360</v>
      </c>
      <c r="C113" s="14">
        <v>6</v>
      </c>
      <c r="D113" s="15" t="s">
        <v>583</v>
      </c>
      <c r="E113" s="15" t="s">
        <v>534</v>
      </c>
      <c r="F113" s="16" t="s">
        <v>329</v>
      </c>
      <c r="G113" s="16" t="s">
        <v>330</v>
      </c>
      <c r="H113" s="16" t="str">
        <f>""&amp;MID(A113,4,2)</f>
        <v>04</v>
      </c>
      <c r="I113" s="17" t="s">
        <v>319</v>
      </c>
      <c r="J113" s="17" t="s">
        <v>420</v>
      </c>
      <c r="K113" s="18" t="s">
        <v>517</v>
      </c>
      <c r="L113" s="19">
        <v>0</v>
      </c>
      <c r="M113" s="16" t="str">
        <f>DEC2HEX(O113,3)</f>
        <v>014</v>
      </c>
      <c r="N113" s="16" t="str">
        <f>_xlfn.CONCAT(G113," ",H113," ",I113," ",J113," ",K113," ",L113," ",M113)</f>
        <v>GL 04 00 02 B7 0 014</v>
      </c>
      <c r="O113" s="14">
        <v>20</v>
      </c>
      <c r="P113" s="11" t="s">
        <v>6</v>
      </c>
    </row>
    <row r="114" spans="1:16" s="12" customFormat="1" ht="15.75">
      <c r="A114" s="26" t="s">
        <v>521</v>
      </c>
      <c r="B114" s="14" t="s">
        <v>360</v>
      </c>
      <c r="C114" s="14">
        <v>7</v>
      </c>
      <c r="D114" s="15" t="s">
        <v>584</v>
      </c>
      <c r="E114" s="15" t="s">
        <v>260</v>
      </c>
      <c r="F114" s="16" t="s">
        <v>329</v>
      </c>
      <c r="G114" s="16" t="s">
        <v>330</v>
      </c>
      <c r="H114" s="16" t="str">
        <f>""&amp;MID(A114,4,2)</f>
        <v>04</v>
      </c>
      <c r="I114" s="17" t="s">
        <v>319</v>
      </c>
      <c r="J114" s="17" t="s">
        <v>420</v>
      </c>
      <c r="K114" s="18" t="s">
        <v>517</v>
      </c>
      <c r="L114" s="19">
        <v>0</v>
      </c>
      <c r="M114" s="16" t="str">
        <f>DEC2HEX(O114,3)</f>
        <v>015</v>
      </c>
      <c r="N114" s="16" t="str">
        <f>_xlfn.CONCAT(G114," ",H114," ",I114," ",J114," ",K114," ",L114," ",M114)</f>
        <v>GL 04 00 02 B7 0 015</v>
      </c>
      <c r="O114" s="14">
        <v>21</v>
      </c>
      <c r="P114" s="11" t="s">
        <v>6</v>
      </c>
    </row>
    <row r="115" spans="1:16" s="12" customFormat="1" ht="15.75">
      <c r="A115" s="26" t="s">
        <v>521</v>
      </c>
      <c r="B115" s="14" t="s">
        <v>360</v>
      </c>
      <c r="C115" s="14">
        <v>8</v>
      </c>
      <c r="D115" s="15" t="s">
        <v>585</v>
      </c>
      <c r="E115" s="15" t="s">
        <v>535</v>
      </c>
      <c r="F115" s="16" t="s">
        <v>329</v>
      </c>
      <c r="G115" s="16" t="s">
        <v>330</v>
      </c>
      <c r="H115" s="16" t="str">
        <f>""&amp;MID(A115,4,2)</f>
        <v>04</v>
      </c>
      <c r="I115" s="17" t="s">
        <v>319</v>
      </c>
      <c r="J115" s="17" t="s">
        <v>420</v>
      </c>
      <c r="K115" s="18" t="s">
        <v>517</v>
      </c>
      <c r="L115" s="19">
        <v>0</v>
      </c>
      <c r="M115" s="16" t="str">
        <f>DEC2HEX(O115,3)</f>
        <v>016</v>
      </c>
      <c r="N115" s="16" t="str">
        <f>_xlfn.CONCAT(G115," ",H115," ",I115," ",J115," ",K115," ",L115," ",M115)</f>
        <v>GL 04 00 02 B7 0 016</v>
      </c>
      <c r="O115" s="14">
        <v>22</v>
      </c>
      <c r="P115" s="11" t="s">
        <v>6</v>
      </c>
    </row>
    <row r="116" spans="1:16" s="12" customFormat="1" ht="15.75">
      <c r="A116" s="26" t="s">
        <v>522</v>
      </c>
      <c r="B116" s="14" t="s">
        <v>363</v>
      </c>
      <c r="C116" s="14">
        <v>1</v>
      </c>
      <c r="D116" s="15" t="s">
        <v>586</v>
      </c>
      <c r="E116" s="15" t="s">
        <v>241</v>
      </c>
      <c r="F116" s="16" t="s">
        <v>329</v>
      </c>
      <c r="G116" s="16" t="s">
        <v>330</v>
      </c>
      <c r="H116" s="16" t="str">
        <f>""&amp;MID(A116,4,2)</f>
        <v>04</v>
      </c>
      <c r="I116" s="17" t="s">
        <v>319</v>
      </c>
      <c r="J116" s="17" t="s">
        <v>331</v>
      </c>
      <c r="K116" s="18" t="s">
        <v>517</v>
      </c>
      <c r="L116" s="19">
        <v>0</v>
      </c>
      <c r="M116" s="16" t="str">
        <f>DEC2HEX(O116,3)</f>
        <v>017</v>
      </c>
      <c r="N116" s="16" t="str">
        <f>_xlfn.CONCAT(G116," ",H116," ",I116," ",J116," ",K116," ",L116," ",M116)</f>
        <v>GL 04 00 01 B7 0 017</v>
      </c>
      <c r="O116" s="14">
        <v>23</v>
      </c>
      <c r="P116" s="11" t="s">
        <v>6</v>
      </c>
    </row>
    <row r="117" spans="1:16" s="12" customFormat="1" ht="15.75">
      <c r="A117" s="26" t="s">
        <v>522</v>
      </c>
      <c r="B117" s="14" t="s">
        <v>363</v>
      </c>
      <c r="C117" s="14">
        <v>2</v>
      </c>
      <c r="D117" s="15" t="s">
        <v>587</v>
      </c>
      <c r="E117" s="15" t="s">
        <v>245</v>
      </c>
      <c r="F117" s="16" t="s">
        <v>329</v>
      </c>
      <c r="G117" s="16" t="s">
        <v>330</v>
      </c>
      <c r="H117" s="16" t="str">
        <f>""&amp;MID(A117,4,2)</f>
        <v>04</v>
      </c>
      <c r="I117" s="17" t="s">
        <v>319</v>
      </c>
      <c r="J117" s="17" t="s">
        <v>331</v>
      </c>
      <c r="K117" s="18" t="s">
        <v>517</v>
      </c>
      <c r="L117" s="19">
        <v>0</v>
      </c>
      <c r="M117" s="16" t="str">
        <f>DEC2HEX(O117,3)</f>
        <v>018</v>
      </c>
      <c r="N117" s="16" t="str">
        <f>_xlfn.CONCAT(G117," ",H117," ",I117," ",J117," ",K117," ",L117," ",M117)</f>
        <v>GL 04 00 01 B7 0 018</v>
      </c>
      <c r="O117" s="14">
        <v>24</v>
      </c>
      <c r="P117" s="11" t="s">
        <v>6</v>
      </c>
    </row>
    <row r="118" spans="1:16" s="12" customFormat="1" ht="15.75">
      <c r="A118" s="26" t="s">
        <v>522</v>
      </c>
      <c r="B118" s="14" t="s">
        <v>363</v>
      </c>
      <c r="C118" s="14">
        <v>3</v>
      </c>
      <c r="D118" s="15" t="s">
        <v>588</v>
      </c>
      <c r="E118" s="15" t="s">
        <v>243</v>
      </c>
      <c r="F118" s="16" t="s">
        <v>329</v>
      </c>
      <c r="G118" s="16" t="s">
        <v>330</v>
      </c>
      <c r="H118" s="16" t="str">
        <f>""&amp;MID(A118,4,2)</f>
        <v>04</v>
      </c>
      <c r="I118" s="17" t="s">
        <v>319</v>
      </c>
      <c r="J118" s="17" t="s">
        <v>331</v>
      </c>
      <c r="K118" s="18" t="s">
        <v>517</v>
      </c>
      <c r="L118" s="19">
        <v>0</v>
      </c>
      <c r="M118" s="16" t="str">
        <f>DEC2HEX(O118,3)</f>
        <v>019</v>
      </c>
      <c r="N118" s="16" t="str">
        <f>_xlfn.CONCAT(G118," ",H118," ",I118," ",J118," ",K118," ",L118," ",M118)</f>
        <v>GL 04 00 01 B7 0 019</v>
      </c>
      <c r="O118" s="14">
        <v>25</v>
      </c>
      <c r="P118" s="11" t="s">
        <v>6</v>
      </c>
    </row>
    <row r="119" spans="1:16" s="12" customFormat="1" ht="15.75">
      <c r="A119" s="26" t="s">
        <v>522</v>
      </c>
      <c r="B119" s="14" t="s">
        <v>363</v>
      </c>
      <c r="C119" s="14">
        <v>4</v>
      </c>
      <c r="D119" s="15" t="s">
        <v>589</v>
      </c>
      <c r="E119" s="15" t="s">
        <v>247</v>
      </c>
      <c r="F119" s="16" t="s">
        <v>329</v>
      </c>
      <c r="G119" s="16" t="s">
        <v>330</v>
      </c>
      <c r="H119" s="16" t="str">
        <f>""&amp;MID(A119,4,2)</f>
        <v>04</v>
      </c>
      <c r="I119" s="17" t="s">
        <v>319</v>
      </c>
      <c r="J119" s="17" t="s">
        <v>331</v>
      </c>
      <c r="K119" s="18" t="s">
        <v>517</v>
      </c>
      <c r="L119" s="19">
        <v>0</v>
      </c>
      <c r="M119" s="16" t="str">
        <f>DEC2HEX(O119,3)</f>
        <v>01A</v>
      </c>
      <c r="N119" s="16" t="str">
        <f>_xlfn.CONCAT(G119," ",H119," ",I119," ",J119," ",K119," ",L119," ",M119)</f>
        <v>GL 04 00 01 B7 0 01A</v>
      </c>
      <c r="O119" s="14">
        <v>26</v>
      </c>
      <c r="P119" s="11" t="s">
        <v>6</v>
      </c>
    </row>
    <row r="120" spans="1:16" s="12" customFormat="1" ht="15.75">
      <c r="A120" s="26" t="s">
        <v>522</v>
      </c>
      <c r="B120" s="14" t="s">
        <v>363</v>
      </c>
      <c r="C120" s="14">
        <v>5</v>
      </c>
      <c r="D120" s="15" t="s">
        <v>586</v>
      </c>
      <c r="E120" s="15" t="s">
        <v>278</v>
      </c>
      <c r="F120" s="16" t="s">
        <v>329</v>
      </c>
      <c r="G120" s="16" t="s">
        <v>330</v>
      </c>
      <c r="H120" s="16" t="str">
        <f>""&amp;MID(A120,4,2)</f>
        <v>04</v>
      </c>
      <c r="I120" s="17" t="s">
        <v>319</v>
      </c>
      <c r="J120" s="17" t="s">
        <v>420</v>
      </c>
      <c r="K120" s="18" t="s">
        <v>517</v>
      </c>
      <c r="L120" s="19">
        <v>0</v>
      </c>
      <c r="M120" s="16" t="str">
        <f>DEC2HEX(O120,3)</f>
        <v>017</v>
      </c>
      <c r="N120" s="16" t="str">
        <f>_xlfn.CONCAT(G120," ",H120," ",I120," ",J120," ",K120," ",L120," ",M120)</f>
        <v>GL 04 00 02 B7 0 017</v>
      </c>
      <c r="O120" s="14">
        <v>23</v>
      </c>
      <c r="P120" s="11" t="s">
        <v>6</v>
      </c>
    </row>
    <row r="121" spans="1:16" s="12" customFormat="1" ht="15.75">
      <c r="A121" s="26" t="s">
        <v>522</v>
      </c>
      <c r="B121" s="14" t="s">
        <v>363</v>
      </c>
      <c r="C121" s="14">
        <v>6</v>
      </c>
      <c r="D121" s="15" t="s">
        <v>587</v>
      </c>
      <c r="E121" s="15" t="s">
        <v>536</v>
      </c>
      <c r="F121" s="16" t="s">
        <v>329</v>
      </c>
      <c r="G121" s="16" t="s">
        <v>330</v>
      </c>
      <c r="H121" s="16" t="str">
        <f>""&amp;MID(A121,4,2)</f>
        <v>04</v>
      </c>
      <c r="I121" s="17" t="s">
        <v>319</v>
      </c>
      <c r="J121" s="17" t="s">
        <v>420</v>
      </c>
      <c r="K121" s="18" t="s">
        <v>517</v>
      </c>
      <c r="L121" s="19">
        <v>0</v>
      </c>
      <c r="M121" s="16" t="str">
        <f>DEC2HEX(O121,3)</f>
        <v>018</v>
      </c>
      <c r="N121" s="16" t="str">
        <f>_xlfn.CONCAT(G121," ",H121," ",I121," ",J121," ",K121," ",L121," ",M121)</f>
        <v>GL 04 00 02 B7 0 018</v>
      </c>
      <c r="O121" s="14">
        <v>24</v>
      </c>
      <c r="P121" s="11" t="s">
        <v>6</v>
      </c>
    </row>
    <row r="122" spans="1:16" s="12" customFormat="1" ht="15.75">
      <c r="A122" s="26" t="s">
        <v>522</v>
      </c>
      <c r="B122" s="14" t="s">
        <v>363</v>
      </c>
      <c r="C122" s="14">
        <v>7</v>
      </c>
      <c r="D122" s="15" t="s">
        <v>588</v>
      </c>
      <c r="E122" s="15" t="s">
        <v>268</v>
      </c>
      <c r="F122" s="16" t="s">
        <v>329</v>
      </c>
      <c r="G122" s="16" t="s">
        <v>330</v>
      </c>
      <c r="H122" s="16" t="str">
        <f>""&amp;MID(A122,4,2)</f>
        <v>04</v>
      </c>
      <c r="I122" s="17" t="s">
        <v>319</v>
      </c>
      <c r="J122" s="17" t="s">
        <v>420</v>
      </c>
      <c r="K122" s="18" t="s">
        <v>517</v>
      </c>
      <c r="L122" s="19">
        <v>0</v>
      </c>
      <c r="M122" s="16" t="str">
        <f>DEC2HEX(O122,3)</f>
        <v>019</v>
      </c>
      <c r="N122" s="16" t="str">
        <f>_xlfn.CONCAT(G122," ",H122," ",I122," ",J122," ",K122," ",L122," ",M122)</f>
        <v>GL 04 00 02 B7 0 019</v>
      </c>
      <c r="O122" s="14">
        <v>25</v>
      </c>
      <c r="P122" s="11" t="s">
        <v>6</v>
      </c>
    </row>
    <row r="123" spans="1:16" s="12" customFormat="1" ht="15.75">
      <c r="A123" s="26" t="s">
        <v>522</v>
      </c>
      <c r="B123" s="14" t="s">
        <v>363</v>
      </c>
      <c r="C123" s="14">
        <v>8</v>
      </c>
      <c r="D123" s="15" t="s">
        <v>589</v>
      </c>
      <c r="E123" s="15" t="s">
        <v>537</v>
      </c>
      <c r="F123" s="16" t="s">
        <v>329</v>
      </c>
      <c r="G123" s="16" t="s">
        <v>330</v>
      </c>
      <c r="H123" s="16" t="str">
        <f>""&amp;MID(A123,4,2)</f>
        <v>04</v>
      </c>
      <c r="I123" s="17" t="s">
        <v>319</v>
      </c>
      <c r="J123" s="17" t="s">
        <v>420</v>
      </c>
      <c r="K123" s="18" t="s">
        <v>517</v>
      </c>
      <c r="L123" s="19">
        <v>0</v>
      </c>
      <c r="M123" s="16" t="str">
        <f>DEC2HEX(O123,3)</f>
        <v>01A</v>
      </c>
      <c r="N123" s="16" t="str">
        <f>_xlfn.CONCAT(G123," ",H123," ",I123," ",J123," ",K123," ",L123," ",M123)</f>
        <v>GL 04 00 02 B7 0 01A</v>
      </c>
      <c r="O123" s="14">
        <v>26</v>
      </c>
      <c r="P123" s="11" t="s">
        <v>6</v>
      </c>
    </row>
    <row r="124" spans="1:16" s="12" customFormat="1" ht="15.75">
      <c r="A124" s="26" t="s">
        <v>523</v>
      </c>
      <c r="B124" s="14" t="s">
        <v>327</v>
      </c>
      <c r="C124" s="14">
        <v>1</v>
      </c>
      <c r="D124" s="15" t="s">
        <v>568</v>
      </c>
      <c r="E124" s="15" t="s">
        <v>538</v>
      </c>
      <c r="F124" s="16" t="s">
        <v>329</v>
      </c>
      <c r="G124" s="16" t="s">
        <v>330</v>
      </c>
      <c r="H124" s="16" t="str">
        <f>""&amp;MID(A124,4,2)</f>
        <v>05</v>
      </c>
      <c r="I124" s="17" t="s">
        <v>319</v>
      </c>
      <c r="J124" s="17" t="s">
        <v>443</v>
      </c>
      <c r="K124" s="18" t="s">
        <v>517</v>
      </c>
      <c r="L124" s="19">
        <v>0</v>
      </c>
      <c r="M124" s="16" t="str">
        <f>DEC2HEX(O124,3)</f>
        <v>001</v>
      </c>
      <c r="N124" s="16" t="str">
        <f>_xlfn.CONCAT(G124," ",H124," ",I124," ",J124," ",K124," ",L124," ",M124)</f>
        <v>GL 05 00 03 B7 0 001</v>
      </c>
      <c r="O124" s="14">
        <v>1</v>
      </c>
      <c r="P124" s="11" t="s">
        <v>6</v>
      </c>
    </row>
    <row r="125" spans="1:16" s="12" customFormat="1" ht="15.75">
      <c r="A125" s="26" t="s">
        <v>523</v>
      </c>
      <c r="B125" s="14" t="s">
        <v>340</v>
      </c>
      <c r="C125" s="14">
        <v>1</v>
      </c>
      <c r="D125" s="15" t="s">
        <v>572</v>
      </c>
      <c r="E125" s="15" t="s">
        <v>540</v>
      </c>
      <c r="F125" s="16" t="s">
        <v>329</v>
      </c>
      <c r="G125" s="16" t="s">
        <v>330</v>
      </c>
      <c r="H125" s="16" t="str">
        <f>""&amp;MID(A125,4,2)</f>
        <v>05</v>
      </c>
      <c r="I125" s="17" t="s">
        <v>319</v>
      </c>
      <c r="J125" s="17" t="s">
        <v>443</v>
      </c>
      <c r="K125" s="18" t="s">
        <v>517</v>
      </c>
      <c r="L125" s="19">
        <v>0</v>
      </c>
      <c r="M125" s="16" t="str">
        <f>DEC2HEX(O125,3)</f>
        <v>002</v>
      </c>
      <c r="N125" s="16" t="str">
        <f>_xlfn.CONCAT(G125," ",H125," ",I125," ",J125," ",K125," ",L125," ",M125)</f>
        <v>GL 05 00 03 B7 0 002</v>
      </c>
      <c r="O125" s="14">
        <v>2</v>
      </c>
      <c r="P125" s="11" t="s">
        <v>6</v>
      </c>
    </row>
    <row r="126" spans="1:16" s="12" customFormat="1" ht="15.75">
      <c r="A126" s="26" t="s">
        <v>523</v>
      </c>
      <c r="B126" s="14" t="s">
        <v>363</v>
      </c>
      <c r="C126" s="14">
        <v>1</v>
      </c>
      <c r="D126" s="15" t="s">
        <v>574</v>
      </c>
      <c r="E126" s="15" t="s">
        <v>541</v>
      </c>
      <c r="F126" s="16" t="s">
        <v>329</v>
      </c>
      <c r="G126" s="16" t="s">
        <v>330</v>
      </c>
      <c r="H126" s="16" t="str">
        <f>""&amp;MID(A126,4,2)</f>
        <v>05</v>
      </c>
      <c r="I126" s="17" t="s">
        <v>319</v>
      </c>
      <c r="J126" s="17" t="s">
        <v>443</v>
      </c>
      <c r="K126" s="18" t="s">
        <v>517</v>
      </c>
      <c r="L126" s="19">
        <v>0</v>
      </c>
      <c r="M126" s="16" t="str">
        <f>DEC2HEX(O126,3)</f>
        <v>003</v>
      </c>
      <c r="N126" s="16" t="str">
        <f>_xlfn.CONCAT(G126," ",H126," ",I126," ",J126," ",K126," ",L126," ",M126)</f>
        <v>GL 05 00 03 B7 0 003</v>
      </c>
      <c r="O126" s="14">
        <v>3</v>
      </c>
      <c r="P126" s="11" t="s">
        <v>6</v>
      </c>
    </row>
    <row r="127" spans="1:16" s="12" customFormat="1" ht="15.75">
      <c r="A127" s="26" t="s">
        <v>523</v>
      </c>
      <c r="B127" s="14" t="s">
        <v>327</v>
      </c>
      <c r="C127" s="14">
        <v>2</v>
      </c>
      <c r="D127" s="15" t="s">
        <v>569</v>
      </c>
      <c r="E127" s="15" t="s">
        <v>549</v>
      </c>
      <c r="F127" s="16" t="s">
        <v>329</v>
      </c>
      <c r="G127" s="16" t="s">
        <v>330</v>
      </c>
      <c r="H127" s="16" t="str">
        <f>""&amp;MID(A127,4,2)</f>
        <v>05</v>
      </c>
      <c r="I127" s="17" t="s">
        <v>319</v>
      </c>
      <c r="J127" s="17" t="s">
        <v>443</v>
      </c>
      <c r="K127" s="18" t="s">
        <v>517</v>
      </c>
      <c r="L127" s="19">
        <v>0</v>
      </c>
      <c r="M127" s="16" t="str">
        <f>DEC2HEX(O127,3)</f>
        <v>004</v>
      </c>
      <c r="N127" s="16" t="str">
        <f>_xlfn.CONCAT(G127," ",H127," ",I127," ",J127," ",K127," ",L127," ",M127)</f>
        <v>GL 05 00 03 B7 0 004</v>
      </c>
      <c r="O127" s="14">
        <v>4</v>
      </c>
      <c r="P127" s="11" t="s">
        <v>6</v>
      </c>
    </row>
    <row r="128" spans="1:16" s="12" customFormat="1" ht="15.75">
      <c r="A128" s="26" t="s">
        <v>523</v>
      </c>
      <c r="B128" s="14" t="s">
        <v>340</v>
      </c>
      <c r="C128" s="14">
        <v>2</v>
      </c>
      <c r="D128" s="15" t="s">
        <v>573</v>
      </c>
      <c r="E128" s="15" t="s">
        <v>551</v>
      </c>
      <c r="F128" s="16" t="s">
        <v>329</v>
      </c>
      <c r="G128" s="16" t="s">
        <v>330</v>
      </c>
      <c r="H128" s="16" t="str">
        <f>""&amp;MID(A128,4,2)</f>
        <v>05</v>
      </c>
      <c r="I128" s="17" t="s">
        <v>319</v>
      </c>
      <c r="J128" s="17" t="s">
        <v>443</v>
      </c>
      <c r="K128" s="18" t="s">
        <v>517</v>
      </c>
      <c r="L128" s="19">
        <v>0</v>
      </c>
      <c r="M128" s="16" t="str">
        <f>DEC2HEX(O128,3)</f>
        <v>005</v>
      </c>
      <c r="N128" s="16" t="str">
        <f>_xlfn.CONCAT(G128," ",H128," ",I128," ",J128," ",K128," ",L128," ",M128)</f>
        <v>GL 05 00 03 B7 0 005</v>
      </c>
      <c r="O128" s="14">
        <v>5</v>
      </c>
      <c r="P128" s="11" t="s">
        <v>6</v>
      </c>
    </row>
    <row r="129" spans="1:16" s="12" customFormat="1" ht="15.75">
      <c r="A129" s="26" t="s">
        <v>523</v>
      </c>
      <c r="B129" s="14" t="s">
        <v>363</v>
      </c>
      <c r="C129" s="14">
        <v>2</v>
      </c>
      <c r="D129" s="15" t="s">
        <v>575</v>
      </c>
      <c r="E129" s="15" t="s">
        <v>552</v>
      </c>
      <c r="F129" s="16" t="s">
        <v>329</v>
      </c>
      <c r="G129" s="16" t="s">
        <v>330</v>
      </c>
      <c r="H129" s="16" t="str">
        <f>""&amp;MID(A129,4,2)</f>
        <v>05</v>
      </c>
      <c r="I129" s="17" t="s">
        <v>319</v>
      </c>
      <c r="J129" s="17" t="s">
        <v>443</v>
      </c>
      <c r="K129" s="18" t="s">
        <v>517</v>
      </c>
      <c r="L129" s="19">
        <v>0</v>
      </c>
      <c r="M129" s="16" t="str">
        <f>DEC2HEX(O129,3)</f>
        <v>006</v>
      </c>
      <c r="N129" s="16" t="str">
        <f>_xlfn.CONCAT(G129," ",H129," ",I129," ",J129," ",K129," ",L129," ",M129)</f>
        <v>GL 05 00 03 B7 0 006</v>
      </c>
      <c r="O129" s="14">
        <v>6</v>
      </c>
      <c r="P129" s="11" t="s">
        <v>6</v>
      </c>
    </row>
    <row r="130" spans="1:16" s="12" customFormat="1" ht="15.75">
      <c r="A130" s="26" t="s">
        <v>523</v>
      </c>
      <c r="B130" s="14" t="s">
        <v>327</v>
      </c>
      <c r="C130" s="14">
        <v>3</v>
      </c>
      <c r="D130" s="15" t="s">
        <v>570</v>
      </c>
      <c r="E130" s="15" t="s">
        <v>539</v>
      </c>
      <c r="F130" s="16" t="s">
        <v>329</v>
      </c>
      <c r="G130" s="16" t="s">
        <v>330</v>
      </c>
      <c r="H130" s="16" t="str">
        <f>""&amp;MID(A130,4,2)</f>
        <v>05</v>
      </c>
      <c r="I130" s="17" t="s">
        <v>319</v>
      </c>
      <c r="J130" s="17" t="s">
        <v>443</v>
      </c>
      <c r="K130" s="18" t="s">
        <v>517</v>
      </c>
      <c r="L130" s="19">
        <v>0</v>
      </c>
      <c r="M130" s="16" t="str">
        <f>DEC2HEX(O130,3)</f>
        <v>007</v>
      </c>
      <c r="N130" s="16" t="str">
        <f>_xlfn.CONCAT(G130," ",H130," ",I130," ",J130," ",K130," ",L130," ",M130)</f>
        <v>GL 05 00 03 B7 0 007</v>
      </c>
      <c r="O130" s="14">
        <v>7</v>
      </c>
      <c r="P130" s="11" t="s">
        <v>6</v>
      </c>
    </row>
    <row r="131" spans="1:16" s="12" customFormat="1" ht="15.75">
      <c r="A131" s="26" t="s">
        <v>523</v>
      </c>
      <c r="B131" s="14" t="s">
        <v>363</v>
      </c>
      <c r="C131" s="14">
        <v>3</v>
      </c>
      <c r="D131" s="15" t="s">
        <v>588</v>
      </c>
      <c r="E131" s="15" t="s">
        <v>548</v>
      </c>
      <c r="F131" s="16" t="s">
        <v>329</v>
      </c>
      <c r="G131" s="16" t="s">
        <v>330</v>
      </c>
      <c r="H131" s="16" t="str">
        <f>""&amp;MID(A131,4,2)</f>
        <v>05</v>
      </c>
      <c r="I131" s="17" t="s">
        <v>319</v>
      </c>
      <c r="J131" s="17" t="s">
        <v>443</v>
      </c>
      <c r="K131" s="18" t="s">
        <v>517</v>
      </c>
      <c r="L131" s="19">
        <v>0</v>
      </c>
      <c r="M131" s="16" t="str">
        <f>DEC2HEX(O131,3)</f>
        <v>019</v>
      </c>
      <c r="N131" s="16" t="str">
        <f>_xlfn.CONCAT(G131," ",H131," ",I131," ",J131," ",K131," ",L131," ",M131)</f>
        <v>GL 05 00 03 B7 0 019</v>
      </c>
      <c r="O131" s="14">
        <v>25</v>
      </c>
      <c r="P131" s="11" t="s">
        <v>6</v>
      </c>
    </row>
    <row r="132" spans="1:16" s="12" customFormat="1" ht="15.75">
      <c r="A132" s="26" t="s">
        <v>523</v>
      </c>
      <c r="B132" s="14" t="s">
        <v>327</v>
      </c>
      <c r="C132" s="14">
        <v>4</v>
      </c>
      <c r="D132" s="15" t="s">
        <v>571</v>
      </c>
      <c r="E132" s="15" t="s">
        <v>550</v>
      </c>
      <c r="F132" s="16" t="s">
        <v>329</v>
      </c>
      <c r="G132" s="16" t="s">
        <v>330</v>
      </c>
      <c r="H132" s="16" t="str">
        <f>""&amp;MID(A132,4,2)</f>
        <v>05</v>
      </c>
      <c r="I132" s="17" t="s">
        <v>319</v>
      </c>
      <c r="J132" s="17" t="s">
        <v>443</v>
      </c>
      <c r="K132" s="18" t="s">
        <v>517</v>
      </c>
      <c r="L132" s="19">
        <v>0</v>
      </c>
      <c r="M132" s="16" t="str">
        <f>DEC2HEX(O132,3)</f>
        <v>008</v>
      </c>
      <c r="N132" s="16" t="str">
        <f>_xlfn.CONCAT(G132," ",H132," ",I132," ",J132," ",K132," ",L132," ",M132)</f>
        <v>GL 05 00 03 B7 0 008</v>
      </c>
      <c r="O132" s="14">
        <v>8</v>
      </c>
      <c r="P132" s="11" t="s">
        <v>6</v>
      </c>
    </row>
    <row r="133" spans="1:16" s="12" customFormat="1" ht="15.75">
      <c r="A133" s="26" t="s">
        <v>523</v>
      </c>
      <c r="B133" s="14" t="s">
        <v>363</v>
      </c>
      <c r="C133" s="14">
        <v>4</v>
      </c>
      <c r="D133" s="15" t="s">
        <v>589</v>
      </c>
      <c r="E133" s="15" t="s">
        <v>559</v>
      </c>
      <c r="F133" s="16" t="s">
        <v>329</v>
      </c>
      <c r="G133" s="16" t="s">
        <v>330</v>
      </c>
      <c r="H133" s="16" t="str">
        <f>""&amp;MID(A133,4,2)</f>
        <v>05</v>
      </c>
      <c r="I133" s="17" t="s">
        <v>319</v>
      </c>
      <c r="J133" s="17" t="s">
        <v>443</v>
      </c>
      <c r="K133" s="18" t="s">
        <v>517</v>
      </c>
      <c r="L133" s="19">
        <v>0</v>
      </c>
      <c r="M133" s="16" t="str">
        <f>DEC2HEX(O133,3)</f>
        <v>01A</v>
      </c>
      <c r="N133" s="16" t="str">
        <f>_xlfn.CONCAT(G133," ",H133," ",I133," ",J133," ",K133," ",L133," ",M133)</f>
        <v>GL 05 00 03 B7 0 01A</v>
      </c>
      <c r="O133" s="14">
        <v>26</v>
      </c>
      <c r="P133" s="11" t="s">
        <v>6</v>
      </c>
    </row>
    <row r="134" spans="1:16" s="12" customFormat="1" ht="15.75">
      <c r="A134" s="26" t="s">
        <v>523</v>
      </c>
      <c r="B134" s="14" t="s">
        <v>360</v>
      </c>
      <c r="C134" s="14">
        <v>5</v>
      </c>
      <c r="D134" s="15" t="s">
        <v>576</v>
      </c>
      <c r="E134" s="15" t="s">
        <v>542</v>
      </c>
      <c r="F134" s="16" t="s">
        <v>329</v>
      </c>
      <c r="G134" s="16" t="s">
        <v>330</v>
      </c>
      <c r="H134" s="16" t="str">
        <f>""&amp;MID(A134,4,2)</f>
        <v>05</v>
      </c>
      <c r="I134" s="17" t="s">
        <v>319</v>
      </c>
      <c r="J134" s="17" t="s">
        <v>443</v>
      </c>
      <c r="K134" s="18" t="s">
        <v>517</v>
      </c>
      <c r="L134" s="19">
        <v>0</v>
      </c>
      <c r="M134" s="16" t="str">
        <f>DEC2HEX(O134,3)</f>
        <v>009</v>
      </c>
      <c r="N134" s="16" t="str">
        <f>_xlfn.CONCAT(G134," ",H134," ",I134," ",J134," ",K134," ",L134," ",M134)</f>
        <v>GL 05 00 03 B7 0 009</v>
      </c>
      <c r="O134" s="14">
        <v>9</v>
      </c>
      <c r="P134" s="11" t="s">
        <v>6</v>
      </c>
    </row>
    <row r="135" spans="1:16" s="12" customFormat="1" ht="15.75">
      <c r="A135" s="26" t="s">
        <v>523</v>
      </c>
      <c r="B135" s="14" t="s">
        <v>363</v>
      </c>
      <c r="C135" s="14">
        <v>5</v>
      </c>
      <c r="D135" s="15" t="s">
        <v>586</v>
      </c>
      <c r="E135" s="15" t="s">
        <v>547</v>
      </c>
      <c r="F135" s="16" t="s">
        <v>329</v>
      </c>
      <c r="G135" s="16" t="s">
        <v>330</v>
      </c>
      <c r="H135" s="16" t="str">
        <f>""&amp;MID(A135,4,2)</f>
        <v>05</v>
      </c>
      <c r="I135" s="17" t="s">
        <v>319</v>
      </c>
      <c r="J135" s="17" t="s">
        <v>443</v>
      </c>
      <c r="K135" s="18" t="s">
        <v>517</v>
      </c>
      <c r="L135" s="19">
        <v>0</v>
      </c>
      <c r="M135" s="16" t="str">
        <f>DEC2HEX(O135,3)</f>
        <v>017</v>
      </c>
      <c r="N135" s="16" t="str">
        <f>_xlfn.CONCAT(G135," ",H135," ",I135," ",J135," ",K135," ",L135," ",M135)</f>
        <v>GL 05 00 03 B7 0 017</v>
      </c>
      <c r="O135" s="14">
        <v>23</v>
      </c>
      <c r="P135" s="11" t="s">
        <v>6</v>
      </c>
    </row>
    <row r="136" spans="1:16" s="12" customFormat="1" ht="15.75">
      <c r="A136" s="26" t="s">
        <v>523</v>
      </c>
      <c r="B136" s="14" t="s">
        <v>360</v>
      </c>
      <c r="C136" s="14">
        <v>6</v>
      </c>
      <c r="D136" s="15" t="s">
        <v>577</v>
      </c>
      <c r="E136" s="15" t="s">
        <v>553</v>
      </c>
      <c r="F136" s="16" t="s">
        <v>329</v>
      </c>
      <c r="G136" s="16" t="s">
        <v>330</v>
      </c>
      <c r="H136" s="16" t="str">
        <f>""&amp;MID(A136,4,2)</f>
        <v>05</v>
      </c>
      <c r="I136" s="17" t="s">
        <v>319</v>
      </c>
      <c r="J136" s="17" t="s">
        <v>443</v>
      </c>
      <c r="K136" s="18" t="s">
        <v>517</v>
      </c>
      <c r="L136" s="19">
        <v>0</v>
      </c>
      <c r="M136" s="16" t="str">
        <f>DEC2HEX(O136,3)</f>
        <v>00A</v>
      </c>
      <c r="N136" s="16" t="str">
        <f>_xlfn.CONCAT(G136," ",H136," ",I136," ",J136," ",K136," ",L136," ",M136)</f>
        <v>GL 05 00 03 B7 0 00A</v>
      </c>
      <c r="O136" s="14">
        <v>10</v>
      </c>
      <c r="P136" s="11" t="s">
        <v>6</v>
      </c>
    </row>
    <row r="137" spans="1:16" s="12" customFormat="1" ht="15.75">
      <c r="A137" s="26" t="s">
        <v>523</v>
      </c>
      <c r="B137" s="14" t="s">
        <v>363</v>
      </c>
      <c r="C137" s="14">
        <v>6</v>
      </c>
      <c r="D137" s="15" t="s">
        <v>587</v>
      </c>
      <c r="E137" s="15" t="s">
        <v>558</v>
      </c>
      <c r="F137" s="16" t="s">
        <v>329</v>
      </c>
      <c r="G137" s="16" t="s">
        <v>330</v>
      </c>
      <c r="H137" s="16" t="str">
        <f>""&amp;MID(A137,4,2)</f>
        <v>05</v>
      </c>
      <c r="I137" s="17" t="s">
        <v>319</v>
      </c>
      <c r="J137" s="17" t="s">
        <v>443</v>
      </c>
      <c r="K137" s="18" t="s">
        <v>517</v>
      </c>
      <c r="L137" s="19">
        <v>0</v>
      </c>
      <c r="M137" s="16" t="str">
        <f>DEC2HEX(O137,3)</f>
        <v>018</v>
      </c>
      <c r="N137" s="16" t="str">
        <f>_xlfn.CONCAT(G137," ",H137," ",I137," ",J137," ",K137," ",L137," ",M137)</f>
        <v>GL 05 00 03 B7 0 018</v>
      </c>
      <c r="O137" s="14">
        <v>24</v>
      </c>
      <c r="P137" s="11" t="s">
        <v>6</v>
      </c>
    </row>
    <row r="138" spans="1:16" s="12" customFormat="1" ht="15.75">
      <c r="A138" s="26" t="s">
        <v>523</v>
      </c>
      <c r="B138" s="14" t="s">
        <v>360</v>
      </c>
      <c r="C138" s="14">
        <v>7</v>
      </c>
      <c r="D138" s="15" t="s">
        <v>584</v>
      </c>
      <c r="E138" s="15" t="s">
        <v>546</v>
      </c>
      <c r="F138" s="16" t="s">
        <v>329</v>
      </c>
      <c r="G138" s="16" t="s">
        <v>330</v>
      </c>
      <c r="H138" s="16" t="str">
        <f>""&amp;MID(A138,4,2)</f>
        <v>05</v>
      </c>
      <c r="I138" s="17" t="s">
        <v>319</v>
      </c>
      <c r="J138" s="17" t="s">
        <v>443</v>
      </c>
      <c r="K138" s="18" t="s">
        <v>517</v>
      </c>
      <c r="L138" s="19">
        <v>0</v>
      </c>
      <c r="M138" s="16" t="str">
        <f>DEC2HEX(O138,3)</f>
        <v>015</v>
      </c>
      <c r="N138" s="16" t="str">
        <f>_xlfn.CONCAT(G138," ",H138," ",I138," ",J138," ",K138," ",L138," ",M138)</f>
        <v>GL 05 00 03 B7 0 015</v>
      </c>
      <c r="O138" s="14">
        <v>21</v>
      </c>
      <c r="P138" s="11" t="s">
        <v>6</v>
      </c>
    </row>
    <row r="139" spans="1:16" s="12" customFormat="1" ht="15.75">
      <c r="A139" s="26" t="s">
        <v>523</v>
      </c>
      <c r="B139" s="14" t="s">
        <v>360</v>
      </c>
      <c r="C139" s="14">
        <v>8</v>
      </c>
      <c r="D139" s="15" t="s">
        <v>585</v>
      </c>
      <c r="E139" s="15" t="s">
        <v>557</v>
      </c>
      <c r="F139" s="16" t="s">
        <v>329</v>
      </c>
      <c r="G139" s="16" t="s">
        <v>330</v>
      </c>
      <c r="H139" s="16" t="str">
        <f>""&amp;MID(A139,4,2)</f>
        <v>05</v>
      </c>
      <c r="I139" s="17" t="s">
        <v>319</v>
      </c>
      <c r="J139" s="17" t="s">
        <v>443</v>
      </c>
      <c r="K139" s="18" t="s">
        <v>517</v>
      </c>
      <c r="L139" s="19">
        <v>0</v>
      </c>
      <c r="M139" s="16" t="str">
        <f>DEC2HEX(O139,3)</f>
        <v>016</v>
      </c>
      <c r="N139" s="16" t="str">
        <f>_xlfn.CONCAT(G139," ",H139," ",I139," ",J139," ",K139," ",L139," ",M139)</f>
        <v>GL 05 00 03 B7 0 016</v>
      </c>
      <c r="O139" s="14">
        <v>22</v>
      </c>
      <c r="P139" s="11" t="s">
        <v>6</v>
      </c>
    </row>
    <row r="140" spans="1:16" s="12" customFormat="1" ht="15.75">
      <c r="A140" s="26" t="s">
        <v>523</v>
      </c>
      <c r="B140" s="14" t="s">
        <v>360</v>
      </c>
      <c r="C140" s="14">
        <v>9</v>
      </c>
      <c r="D140" s="15" t="s">
        <v>578</v>
      </c>
      <c r="E140" s="15" t="s">
        <v>543</v>
      </c>
      <c r="F140" s="16" t="s">
        <v>329</v>
      </c>
      <c r="G140" s="16" t="s">
        <v>330</v>
      </c>
      <c r="H140" s="16" t="str">
        <f>""&amp;MID(A140,4,2)</f>
        <v>05</v>
      </c>
      <c r="I140" s="17" t="s">
        <v>319</v>
      </c>
      <c r="J140" s="17" t="s">
        <v>443</v>
      </c>
      <c r="K140" s="18" t="s">
        <v>517</v>
      </c>
      <c r="L140" s="19">
        <v>0</v>
      </c>
      <c r="M140" s="16" t="str">
        <f>DEC2HEX(O140,3)</f>
        <v>00F</v>
      </c>
      <c r="N140" s="16" t="str">
        <f>_xlfn.CONCAT(G140," ",H140," ",I140," ",J140," ",K140," ",L140," ",M140)</f>
        <v>GL 05 00 03 B7 0 00F</v>
      </c>
      <c r="O140" s="14">
        <v>15</v>
      </c>
      <c r="P140" s="11" t="s">
        <v>6</v>
      </c>
    </row>
    <row r="141" spans="1:16" s="12" customFormat="1" ht="15.75">
      <c r="A141" s="26" t="s">
        <v>523</v>
      </c>
      <c r="B141" s="14" t="s">
        <v>360</v>
      </c>
      <c r="C141" s="14">
        <v>10</v>
      </c>
      <c r="D141" s="15" t="s">
        <v>579</v>
      </c>
      <c r="E141" s="15" t="s">
        <v>554</v>
      </c>
      <c r="F141" s="16" t="s">
        <v>329</v>
      </c>
      <c r="G141" s="16" t="s">
        <v>330</v>
      </c>
      <c r="H141" s="16" t="str">
        <f>""&amp;MID(A141,4,2)</f>
        <v>05</v>
      </c>
      <c r="I141" s="17" t="s">
        <v>319</v>
      </c>
      <c r="J141" s="17" t="s">
        <v>443</v>
      </c>
      <c r="K141" s="18" t="s">
        <v>517</v>
      </c>
      <c r="L141" s="19">
        <v>0</v>
      </c>
      <c r="M141" s="16" t="str">
        <f>DEC2HEX(O141,3)</f>
        <v>010</v>
      </c>
      <c r="N141" s="16" t="str">
        <f>_xlfn.CONCAT(G141," ",H141," ",I141," ",J141," ",K141," ",L141," ",M141)</f>
        <v>GL 05 00 03 B7 0 010</v>
      </c>
      <c r="O141" s="14">
        <v>16</v>
      </c>
      <c r="P141" s="11" t="s">
        <v>6</v>
      </c>
    </row>
    <row r="142" spans="1:16" s="12" customFormat="1" ht="15.75">
      <c r="A142" s="26" t="s">
        <v>523</v>
      </c>
      <c r="B142" s="14" t="s">
        <v>360</v>
      </c>
      <c r="C142" s="14">
        <v>11</v>
      </c>
      <c r="D142" s="15" t="s">
        <v>580</v>
      </c>
      <c r="E142" s="15" t="s">
        <v>544</v>
      </c>
      <c r="F142" s="16" t="s">
        <v>329</v>
      </c>
      <c r="G142" s="16" t="s">
        <v>330</v>
      </c>
      <c r="H142" s="16" t="str">
        <f>""&amp;MID(A142,4,2)</f>
        <v>05</v>
      </c>
      <c r="I142" s="17" t="s">
        <v>319</v>
      </c>
      <c r="J142" s="17" t="s">
        <v>443</v>
      </c>
      <c r="K142" s="18" t="s">
        <v>517</v>
      </c>
      <c r="L142" s="19" t="s">
        <v>368</v>
      </c>
      <c r="M142" s="16" t="str">
        <f>DEC2HEX(O142,3)</f>
        <v>011</v>
      </c>
      <c r="N142" s="16" t="str">
        <f>_xlfn.CONCAT(G142," ",H142," ",I142," ",J142," ",K142," ",L142," ",M142)</f>
        <v>GL 05 00 03 B7 A 011</v>
      </c>
      <c r="O142" s="14">
        <v>17</v>
      </c>
      <c r="P142" s="11" t="s">
        <v>6</v>
      </c>
    </row>
    <row r="143" spans="1:16" s="12" customFormat="1" ht="15.75">
      <c r="A143" s="26" t="s">
        <v>523</v>
      </c>
      <c r="B143" s="14" t="s">
        <v>360</v>
      </c>
      <c r="C143" s="14">
        <v>12</v>
      </c>
      <c r="D143" s="15" t="s">
        <v>581</v>
      </c>
      <c r="E143" s="15" t="s">
        <v>555</v>
      </c>
      <c r="F143" s="16" t="s">
        <v>329</v>
      </c>
      <c r="G143" s="16" t="s">
        <v>330</v>
      </c>
      <c r="H143" s="16" t="str">
        <f>""&amp;MID(A143,4,2)</f>
        <v>05</v>
      </c>
      <c r="I143" s="17" t="s">
        <v>319</v>
      </c>
      <c r="J143" s="17" t="s">
        <v>443</v>
      </c>
      <c r="K143" s="18" t="s">
        <v>517</v>
      </c>
      <c r="L143" s="19" t="s">
        <v>368</v>
      </c>
      <c r="M143" s="16" t="str">
        <f>DEC2HEX(O143,3)</f>
        <v>012</v>
      </c>
      <c r="N143" s="16" t="str">
        <f>_xlfn.CONCAT(G143," ",H143," ",I143," ",J143," ",K143," ",L143," ",M143)</f>
        <v>GL 05 00 03 B7 A 012</v>
      </c>
      <c r="O143" s="14">
        <v>18</v>
      </c>
      <c r="P143" s="11" t="s">
        <v>6</v>
      </c>
    </row>
    <row r="144" spans="1:16" s="12" customFormat="1" ht="15.75">
      <c r="A144" s="26" t="s">
        <v>523</v>
      </c>
      <c r="B144" s="14" t="s">
        <v>360</v>
      </c>
      <c r="C144" s="14">
        <v>13</v>
      </c>
      <c r="D144" s="15" t="s">
        <v>603</v>
      </c>
      <c r="E144" s="15" t="s">
        <v>274</v>
      </c>
      <c r="F144" s="16" t="s">
        <v>329</v>
      </c>
      <c r="G144" s="16" t="s">
        <v>330</v>
      </c>
      <c r="H144" s="16" t="str">
        <f>""&amp;MID(A144,4,2)</f>
        <v>05</v>
      </c>
      <c r="I144" s="17" t="s">
        <v>319</v>
      </c>
      <c r="J144" s="17" t="s">
        <v>420</v>
      </c>
      <c r="K144" s="18" t="s">
        <v>517</v>
      </c>
      <c r="L144" s="19">
        <v>0</v>
      </c>
      <c r="M144" s="16" t="str">
        <f>DEC2HEX(O144,3)</f>
        <v>00B</v>
      </c>
      <c r="N144" s="16" t="str">
        <f>_xlfn.CONCAT(G144," ",H144," ",I144," ",J144," ",K144," ",L144," ",M144)</f>
        <v>GL 05 00 02 B7 0 00B</v>
      </c>
      <c r="O144" s="14">
        <v>11</v>
      </c>
      <c r="P144" s="11" t="s">
        <v>6</v>
      </c>
    </row>
    <row r="145" spans="1:16" s="12" customFormat="1" ht="15.75">
      <c r="A145" s="26" t="s">
        <v>523</v>
      </c>
      <c r="B145" s="14" t="s">
        <v>360</v>
      </c>
      <c r="C145" s="14">
        <v>14</v>
      </c>
      <c r="D145" s="15" t="s">
        <v>604</v>
      </c>
      <c r="E145" s="15" t="s">
        <v>276</v>
      </c>
      <c r="F145" s="16" t="s">
        <v>329</v>
      </c>
      <c r="G145" s="16" t="s">
        <v>330</v>
      </c>
      <c r="H145" s="16" t="str">
        <f>""&amp;MID(A145,4,2)</f>
        <v>05</v>
      </c>
      <c r="I145" s="17" t="s">
        <v>319</v>
      </c>
      <c r="J145" s="17" t="s">
        <v>420</v>
      </c>
      <c r="K145" s="18" t="s">
        <v>517</v>
      </c>
      <c r="L145" s="19">
        <v>0</v>
      </c>
      <c r="M145" s="16" t="str">
        <f>DEC2HEX(O145,3)</f>
        <v>00C</v>
      </c>
      <c r="N145" s="16" t="str">
        <f>_xlfn.CONCAT(G145," ",H145," ",I145," ",J145," ",K145," ",L145," ",M145)</f>
        <v>GL 05 00 02 B7 0 00C</v>
      </c>
      <c r="O145" s="14">
        <v>12</v>
      </c>
      <c r="P145" s="11" t="s">
        <v>6</v>
      </c>
    </row>
    <row r="146" spans="1:16" s="12" customFormat="1" ht="15.75">
      <c r="A146" s="26" t="s">
        <v>531</v>
      </c>
      <c r="B146" s="14" t="s">
        <v>360</v>
      </c>
      <c r="C146" s="14">
        <v>1</v>
      </c>
      <c r="D146" s="15" t="s">
        <v>582</v>
      </c>
      <c r="E146" s="15" t="s">
        <v>545</v>
      </c>
      <c r="F146" s="16" t="s">
        <v>329</v>
      </c>
      <c r="G146" s="16" t="s">
        <v>330</v>
      </c>
      <c r="H146" s="16" t="str">
        <f>""&amp;MID(A146,4,2)</f>
        <v>05</v>
      </c>
      <c r="I146" s="17" t="s">
        <v>319</v>
      </c>
      <c r="J146" s="17" t="s">
        <v>443</v>
      </c>
      <c r="K146" s="18" t="s">
        <v>517</v>
      </c>
      <c r="L146" s="19">
        <v>0</v>
      </c>
      <c r="M146" s="16" t="str">
        <f>DEC2HEX(O146,3)</f>
        <v>013</v>
      </c>
      <c r="N146" s="16" t="str">
        <f>_xlfn.CONCAT(G146," ",H146," ",I146," ",J146," ",K146," ",L146," ",M146)</f>
        <v>GL 05 00 03 B7 0 013</v>
      </c>
      <c r="O146" s="14">
        <v>19</v>
      </c>
      <c r="P146" s="11" t="s">
        <v>6</v>
      </c>
    </row>
    <row r="147" spans="1:16" s="12" customFormat="1" ht="15.75">
      <c r="A147" s="26" t="s">
        <v>531</v>
      </c>
      <c r="B147" s="14" t="s">
        <v>360</v>
      </c>
      <c r="C147" s="14">
        <v>2</v>
      </c>
      <c r="D147" s="15" t="s">
        <v>583</v>
      </c>
      <c r="E147" s="15" t="s">
        <v>556</v>
      </c>
      <c r="F147" s="16" t="s">
        <v>329</v>
      </c>
      <c r="G147" s="16" t="s">
        <v>330</v>
      </c>
      <c r="H147" s="16" t="str">
        <f>""&amp;MID(A147,4,2)</f>
        <v>05</v>
      </c>
      <c r="I147" s="17" t="s">
        <v>319</v>
      </c>
      <c r="J147" s="17" t="s">
        <v>443</v>
      </c>
      <c r="K147" s="18" t="s">
        <v>517</v>
      </c>
      <c r="L147" s="19">
        <v>0</v>
      </c>
      <c r="M147" s="16" t="str">
        <f>DEC2HEX(O147,3)</f>
        <v>014</v>
      </c>
      <c r="N147" s="16" t="str">
        <f>_xlfn.CONCAT(G147," ",H147," ",I147," ",J147," ",K147," ",L147," ",M147)</f>
        <v>GL 05 00 03 B7 0 014</v>
      </c>
      <c r="O147" s="14">
        <v>20</v>
      </c>
      <c r="P147" s="11" t="s">
        <v>6</v>
      </c>
    </row>
    <row r="148" spans="1:16" s="12" customFormat="1" ht="15.75">
      <c r="A148" s="26" t="s">
        <v>531</v>
      </c>
      <c r="B148" s="14" t="s">
        <v>360</v>
      </c>
      <c r="C148" s="14">
        <v>3</v>
      </c>
      <c r="D148" s="15" t="s">
        <v>611</v>
      </c>
      <c r="E148" s="15" t="s">
        <v>284</v>
      </c>
      <c r="F148" s="16" t="s">
        <v>329</v>
      </c>
      <c r="G148" s="16" t="s">
        <v>330</v>
      </c>
      <c r="H148" s="16" t="str">
        <f>""&amp;MID(A148,4,2)</f>
        <v>05</v>
      </c>
      <c r="I148" s="17" t="s">
        <v>319</v>
      </c>
      <c r="J148" s="17" t="s">
        <v>420</v>
      </c>
      <c r="K148" s="18" t="s">
        <v>517</v>
      </c>
      <c r="L148" s="19">
        <v>0</v>
      </c>
      <c r="M148" s="16" t="str">
        <f>DEC2HEX(O148,3)</f>
        <v>00D</v>
      </c>
      <c r="N148" s="16" t="str">
        <f>_xlfn.CONCAT(G148," ",H148," ",I148," ",J148," ",K148," ",L148," ",M148)</f>
        <v>GL 05 00 02 B7 0 00D</v>
      </c>
      <c r="O148" s="14">
        <v>13</v>
      </c>
      <c r="P148" s="11" t="s">
        <v>6</v>
      </c>
    </row>
    <row r="149" spans="1:16" s="12" customFormat="1" ht="15.75">
      <c r="A149" s="26" t="s">
        <v>531</v>
      </c>
      <c r="B149" s="14" t="s">
        <v>360</v>
      </c>
      <c r="C149" s="14">
        <v>4</v>
      </c>
      <c r="D149" s="15" t="s">
        <v>612</v>
      </c>
      <c r="E149" s="15" t="s">
        <v>285</v>
      </c>
      <c r="F149" s="16" t="s">
        <v>329</v>
      </c>
      <c r="G149" s="16" t="s">
        <v>330</v>
      </c>
      <c r="H149" s="16" t="str">
        <f>""&amp;MID(A149,4,2)</f>
        <v>05</v>
      </c>
      <c r="I149" s="17" t="s">
        <v>319</v>
      </c>
      <c r="J149" s="17" t="s">
        <v>420</v>
      </c>
      <c r="K149" s="18" t="s">
        <v>517</v>
      </c>
      <c r="L149" s="19">
        <v>0</v>
      </c>
      <c r="M149" s="16" t="str">
        <f>DEC2HEX(O149,3)</f>
        <v>00E</v>
      </c>
      <c r="N149" s="16" t="str">
        <f>_xlfn.CONCAT(G149," ",H149," ",I149," ",J149," ",K149," ",L149," ",M149)</f>
        <v>GL 05 00 02 B7 0 00E</v>
      </c>
      <c r="O149" s="14">
        <v>14</v>
      </c>
      <c r="P149" s="11" t="s">
        <v>6</v>
      </c>
    </row>
    <row r="150" spans="1:16" s="12" customFormat="1" ht="15.75">
      <c r="A150" s="26" t="s">
        <v>531</v>
      </c>
      <c r="B150" s="14" t="s">
        <v>360</v>
      </c>
      <c r="C150" s="14">
        <v>5</v>
      </c>
      <c r="D150" s="15" t="s">
        <v>603</v>
      </c>
      <c r="E150" s="15" t="s">
        <v>286</v>
      </c>
      <c r="F150" s="16" t="s">
        <v>329</v>
      </c>
      <c r="G150" s="16" t="s">
        <v>330</v>
      </c>
      <c r="H150" s="16" t="str">
        <f>""&amp;MID(A150,4,2)</f>
        <v>05</v>
      </c>
      <c r="I150" s="17" t="s">
        <v>319</v>
      </c>
      <c r="J150" s="17" t="s">
        <v>443</v>
      </c>
      <c r="K150" s="18" t="s">
        <v>517</v>
      </c>
      <c r="L150" s="19">
        <v>0</v>
      </c>
      <c r="M150" s="16" t="str">
        <f>DEC2HEX(O150,3)</f>
        <v>00B</v>
      </c>
      <c r="N150" s="16" t="str">
        <f>_xlfn.CONCAT(G150," ",H150," ",I150," ",J150," ",K150," ",L150," ",M150)</f>
        <v>GL 05 00 03 B7 0 00B</v>
      </c>
      <c r="O150" s="14">
        <v>11</v>
      </c>
      <c r="P150" s="11" t="s">
        <v>6</v>
      </c>
    </row>
    <row r="151" spans="1:16" s="12" customFormat="1" ht="15.75">
      <c r="A151" s="26" t="s">
        <v>531</v>
      </c>
      <c r="B151" s="14" t="s">
        <v>360</v>
      </c>
      <c r="C151" s="14">
        <v>6</v>
      </c>
      <c r="D151" s="15" t="s">
        <v>604</v>
      </c>
      <c r="E151" s="15" t="s">
        <v>287</v>
      </c>
      <c r="F151" s="16" t="s">
        <v>329</v>
      </c>
      <c r="G151" s="16" t="s">
        <v>330</v>
      </c>
      <c r="H151" s="16" t="str">
        <f>""&amp;MID(A151,4,2)</f>
        <v>05</v>
      </c>
      <c r="I151" s="17" t="s">
        <v>319</v>
      </c>
      <c r="J151" s="17" t="s">
        <v>443</v>
      </c>
      <c r="K151" s="18" t="s">
        <v>517</v>
      </c>
      <c r="L151" s="19">
        <v>0</v>
      </c>
      <c r="M151" s="16" t="str">
        <f>DEC2HEX(O151,3)</f>
        <v>00C</v>
      </c>
      <c r="N151" s="16" t="str">
        <f>_xlfn.CONCAT(G151," ",H151," ",I151," ",J151," ",K151," ",L151," ",M151)</f>
        <v>GL 05 00 03 B7 0 00C</v>
      </c>
      <c r="O151" s="14">
        <v>12</v>
      </c>
      <c r="P151" s="11" t="s">
        <v>6</v>
      </c>
    </row>
    <row r="152" spans="1:16" s="12" customFormat="1" ht="15.75">
      <c r="A152" s="26" t="s">
        <v>531</v>
      </c>
      <c r="B152" s="14" t="s">
        <v>360</v>
      </c>
      <c r="C152" s="14">
        <v>7</v>
      </c>
      <c r="D152" s="15" t="s">
        <v>611</v>
      </c>
      <c r="E152" s="15" t="s">
        <v>288</v>
      </c>
      <c r="F152" s="16" t="s">
        <v>329</v>
      </c>
      <c r="G152" s="16" t="s">
        <v>330</v>
      </c>
      <c r="H152" s="16" t="str">
        <f>""&amp;MID(A152,4,2)</f>
        <v>05</v>
      </c>
      <c r="I152" s="17" t="s">
        <v>319</v>
      </c>
      <c r="J152" s="17" t="s">
        <v>443</v>
      </c>
      <c r="K152" s="18" t="s">
        <v>517</v>
      </c>
      <c r="L152" s="19">
        <v>0</v>
      </c>
      <c r="M152" s="16" t="str">
        <f>DEC2HEX(O152,3)</f>
        <v>00D</v>
      </c>
      <c r="N152" s="16" t="str">
        <f>_xlfn.CONCAT(G152," ",H152," ",I152," ",J152," ",K152," ",L152," ",M152)</f>
        <v>GL 05 00 03 B7 0 00D</v>
      </c>
      <c r="O152" s="14">
        <v>13</v>
      </c>
      <c r="P152" s="11" t="s">
        <v>6</v>
      </c>
    </row>
    <row r="153" spans="1:16" s="12" customFormat="1" ht="15.75">
      <c r="A153" s="26" t="s">
        <v>531</v>
      </c>
      <c r="B153" s="14" t="s">
        <v>360</v>
      </c>
      <c r="C153" s="14">
        <v>8</v>
      </c>
      <c r="D153" s="15" t="s">
        <v>612</v>
      </c>
      <c r="E153" s="15" t="s">
        <v>289</v>
      </c>
      <c r="F153" s="16" t="s">
        <v>329</v>
      </c>
      <c r="G153" s="16" t="s">
        <v>330</v>
      </c>
      <c r="H153" s="16" t="str">
        <f>""&amp;MID(A153,4,2)</f>
        <v>05</v>
      </c>
      <c r="I153" s="17" t="s">
        <v>319</v>
      </c>
      <c r="J153" s="17" t="s">
        <v>443</v>
      </c>
      <c r="K153" s="18" t="s">
        <v>517</v>
      </c>
      <c r="L153" s="19">
        <v>0</v>
      </c>
      <c r="M153" s="16" t="str">
        <f>DEC2HEX(O153,3)</f>
        <v>00E</v>
      </c>
      <c r="N153" s="16" t="str">
        <f>_xlfn.CONCAT(G153," ",H153," ",I153," ",J153," ",K153," ",L153," ",M153)</f>
        <v>GL 05 00 03 B7 0 00E</v>
      </c>
      <c r="O153" s="14">
        <v>14</v>
      </c>
      <c r="P153" s="11" t="s">
        <v>6</v>
      </c>
    </row>
    <row r="154" spans="1:16" s="12" customFormat="1" ht="15.75">
      <c r="A154" s="26" t="s">
        <v>560</v>
      </c>
      <c r="B154" s="14" t="s">
        <v>360</v>
      </c>
      <c r="C154" s="14">
        <v>1</v>
      </c>
      <c r="D154" s="15" t="s">
        <v>361</v>
      </c>
      <c r="E154" s="15" t="s">
        <v>291</v>
      </c>
      <c r="F154" s="16" t="s">
        <v>329</v>
      </c>
      <c r="G154" s="16" t="s">
        <v>330</v>
      </c>
      <c r="H154" s="16" t="str">
        <f>""&amp;MID(A154,4,2)</f>
        <v>06</v>
      </c>
      <c r="I154" s="17" t="s">
        <v>319</v>
      </c>
      <c r="J154" s="17" t="s">
        <v>331</v>
      </c>
      <c r="K154" s="18" t="s">
        <v>561</v>
      </c>
      <c r="L154" s="19">
        <v>0</v>
      </c>
      <c r="M154" s="16" t="str">
        <f>DEC2HEX(O154,3)</f>
        <v>001</v>
      </c>
      <c r="N154" s="16" t="str">
        <f>_xlfn.CONCAT(G154," ",H154," ",I154," ",J154," ",K154," ",L154," ",M154)</f>
        <v>GL 06 00 01 A6 0 001</v>
      </c>
      <c r="O154" s="14">
        <v>1</v>
      </c>
      <c r="P154" s="11" t="s">
        <v>7</v>
      </c>
    </row>
    <row r="155" spans="1:16" s="12" customFormat="1" ht="15.75">
      <c r="A155" s="26" t="s">
        <v>560</v>
      </c>
      <c r="B155" s="14" t="s">
        <v>363</v>
      </c>
      <c r="C155" s="14">
        <v>1</v>
      </c>
      <c r="D155" s="15" t="s">
        <v>364</v>
      </c>
      <c r="E155" s="15" t="s">
        <v>304</v>
      </c>
      <c r="F155" s="16" t="s">
        <v>329</v>
      </c>
      <c r="G155" s="16" t="s">
        <v>330</v>
      </c>
      <c r="H155" s="16" t="str">
        <f>""&amp;MID(A155,4,2)</f>
        <v>06</v>
      </c>
      <c r="I155" s="17" t="s">
        <v>319</v>
      </c>
      <c r="J155" s="17" t="s">
        <v>331</v>
      </c>
      <c r="K155" s="18" t="s">
        <v>561</v>
      </c>
      <c r="L155" s="19">
        <v>0</v>
      </c>
      <c r="M155" s="16" t="str">
        <f>DEC2HEX(O155,3)</f>
        <v>002</v>
      </c>
      <c r="N155" s="16" t="str">
        <f>_xlfn.CONCAT(G155," ",H155," ",I155," ",J155," ",K155," ",L155," ",M155)</f>
        <v>GL 06 00 01 A6 0 002</v>
      </c>
      <c r="O155" s="14">
        <v>2</v>
      </c>
      <c r="P155" s="11" t="s">
        <v>7</v>
      </c>
    </row>
    <row r="156" spans="1:16" s="12" customFormat="1" ht="15.75">
      <c r="A156" s="26" t="s">
        <v>560</v>
      </c>
      <c r="B156" s="14" t="s">
        <v>360</v>
      </c>
      <c r="C156" s="14">
        <v>2</v>
      </c>
      <c r="D156" s="15" t="s">
        <v>361</v>
      </c>
      <c r="E156" s="15" t="s">
        <v>294</v>
      </c>
      <c r="F156" s="16" t="s">
        <v>329</v>
      </c>
      <c r="G156" s="16" t="s">
        <v>330</v>
      </c>
      <c r="H156" s="16" t="str">
        <f>""&amp;MID(A156,4,2)</f>
        <v>06</v>
      </c>
      <c r="I156" s="17" t="s">
        <v>319</v>
      </c>
      <c r="J156" s="17" t="s">
        <v>420</v>
      </c>
      <c r="K156" s="18" t="s">
        <v>561</v>
      </c>
      <c r="L156" s="19">
        <v>0</v>
      </c>
      <c r="M156" s="16" t="str">
        <f>DEC2HEX(O156,3)</f>
        <v>001</v>
      </c>
      <c r="N156" s="16" t="str">
        <f>_xlfn.CONCAT(G156," ",H156," ",I156," ",J156," ",K156," ",L156," ",M156)</f>
        <v>GL 06 00 02 A6 0 001</v>
      </c>
      <c r="O156" s="14">
        <v>1</v>
      </c>
      <c r="P156" s="11" t="s">
        <v>7</v>
      </c>
    </row>
    <row r="157" spans="1:16" s="12" customFormat="1" ht="15.75">
      <c r="A157" s="26" t="s">
        <v>560</v>
      </c>
      <c r="B157" s="14" t="s">
        <v>363</v>
      </c>
      <c r="C157" s="14">
        <v>2</v>
      </c>
      <c r="D157" s="15" t="s">
        <v>364</v>
      </c>
      <c r="E157" s="15" t="s">
        <v>305</v>
      </c>
      <c r="F157" s="16" t="s">
        <v>329</v>
      </c>
      <c r="G157" s="16" t="s">
        <v>330</v>
      </c>
      <c r="H157" s="16" t="str">
        <f>""&amp;MID(A157,4,2)</f>
        <v>06</v>
      </c>
      <c r="I157" s="17" t="s">
        <v>319</v>
      </c>
      <c r="J157" s="17" t="s">
        <v>420</v>
      </c>
      <c r="K157" s="18" t="s">
        <v>561</v>
      </c>
      <c r="L157" s="19">
        <v>0</v>
      </c>
      <c r="M157" s="16" t="str">
        <f>DEC2HEX(O157,3)</f>
        <v>002</v>
      </c>
      <c r="N157" s="16" t="str">
        <f>_xlfn.CONCAT(G157," ",H157," ",I157," ",J157," ",K157," ",L157," ",M157)</f>
        <v>GL 06 00 02 A6 0 002</v>
      </c>
      <c r="O157" s="14">
        <v>2</v>
      </c>
      <c r="P157" s="11" t="s">
        <v>7</v>
      </c>
    </row>
    <row r="158" spans="1:16" s="12" customFormat="1" ht="15.75">
      <c r="A158" s="26" t="s">
        <v>560</v>
      </c>
      <c r="B158" s="14" t="s">
        <v>360</v>
      </c>
      <c r="C158" s="14">
        <v>3</v>
      </c>
      <c r="D158" s="15" t="s">
        <v>361</v>
      </c>
      <c r="E158" s="15" t="s">
        <v>296</v>
      </c>
      <c r="F158" s="16" t="s">
        <v>329</v>
      </c>
      <c r="G158" s="16" t="s">
        <v>330</v>
      </c>
      <c r="H158" s="16" t="str">
        <f>""&amp;MID(A158,4,2)</f>
        <v>06</v>
      </c>
      <c r="I158" s="17" t="s">
        <v>319</v>
      </c>
      <c r="J158" s="17" t="s">
        <v>443</v>
      </c>
      <c r="K158" s="18" t="s">
        <v>561</v>
      </c>
      <c r="L158" s="19">
        <v>0</v>
      </c>
      <c r="M158" s="16" t="str">
        <f>DEC2HEX(O158,3)</f>
        <v>001</v>
      </c>
      <c r="N158" s="16" t="str">
        <f>_xlfn.CONCAT(G158," ",H158," ",I158," ",J158," ",K158," ",L158," ",M158)</f>
        <v>GL 06 00 03 A6 0 001</v>
      </c>
      <c r="O158" s="14">
        <v>1</v>
      </c>
      <c r="P158" s="11" t="s">
        <v>7</v>
      </c>
    </row>
    <row r="159" spans="1:16" s="12" customFormat="1" ht="15.75">
      <c r="A159" s="26" t="s">
        <v>560</v>
      </c>
      <c r="B159" s="14" t="s">
        <v>363</v>
      </c>
      <c r="C159" s="14">
        <v>3</v>
      </c>
      <c r="D159" s="15" t="s">
        <v>364</v>
      </c>
      <c r="E159" s="15" t="s">
        <v>306</v>
      </c>
      <c r="F159" s="16" t="s">
        <v>329</v>
      </c>
      <c r="G159" s="16" t="s">
        <v>330</v>
      </c>
      <c r="H159" s="16" t="str">
        <f>""&amp;MID(A159,4,2)</f>
        <v>06</v>
      </c>
      <c r="I159" s="17" t="s">
        <v>319</v>
      </c>
      <c r="J159" s="17" t="s">
        <v>443</v>
      </c>
      <c r="K159" s="18" t="s">
        <v>561</v>
      </c>
      <c r="L159" s="19">
        <v>0</v>
      </c>
      <c r="M159" s="16" t="str">
        <f>DEC2HEX(O159,3)</f>
        <v>002</v>
      </c>
      <c r="N159" s="16" t="str">
        <f>_xlfn.CONCAT(G159," ",H159," ",I159," ",J159," ",K159," ",L159," ",M159)</f>
        <v>GL 06 00 03 A6 0 002</v>
      </c>
      <c r="O159" s="14">
        <v>2</v>
      </c>
      <c r="P159" s="11" t="s">
        <v>7</v>
      </c>
    </row>
    <row r="160" spans="1:16" s="12" customFormat="1" ht="15.75">
      <c r="A160" s="26" t="s">
        <v>560</v>
      </c>
      <c r="B160" s="14" t="s">
        <v>360</v>
      </c>
      <c r="C160" s="14">
        <v>4</v>
      </c>
      <c r="D160" s="15" t="s">
        <v>361</v>
      </c>
      <c r="E160" s="15" t="s">
        <v>298</v>
      </c>
      <c r="F160" s="16" t="s">
        <v>329</v>
      </c>
      <c r="G160" s="16" t="s">
        <v>330</v>
      </c>
      <c r="H160" s="16" t="str">
        <f>""&amp;MID(A160,4,2)</f>
        <v>06</v>
      </c>
      <c r="I160" s="17" t="s">
        <v>319</v>
      </c>
      <c r="J160" s="17" t="s">
        <v>526</v>
      </c>
      <c r="K160" s="18" t="s">
        <v>561</v>
      </c>
      <c r="L160" s="19">
        <v>0</v>
      </c>
      <c r="M160" s="16" t="str">
        <f>DEC2HEX(O160,3)</f>
        <v>001</v>
      </c>
      <c r="N160" s="16" t="str">
        <f>_xlfn.CONCAT(G160," ",H160," ",I160," ",J160," ",K160," ",L160," ",M160)</f>
        <v>GL 06 00 04 A6 0 001</v>
      </c>
      <c r="O160" s="14">
        <v>1</v>
      </c>
      <c r="P160" s="11" t="s">
        <v>7</v>
      </c>
    </row>
    <row r="161" spans="1:16" s="12" customFormat="1" ht="15.75">
      <c r="A161" s="26" t="s">
        <v>560</v>
      </c>
      <c r="B161" s="14" t="s">
        <v>363</v>
      </c>
      <c r="C161" s="14">
        <v>4</v>
      </c>
      <c r="D161" s="15" t="s">
        <v>364</v>
      </c>
      <c r="E161" s="15" t="s">
        <v>307</v>
      </c>
      <c r="F161" s="16" t="s">
        <v>329</v>
      </c>
      <c r="G161" s="16" t="s">
        <v>330</v>
      </c>
      <c r="H161" s="16" t="str">
        <f>""&amp;MID(A161,4,2)</f>
        <v>06</v>
      </c>
      <c r="I161" s="17" t="s">
        <v>319</v>
      </c>
      <c r="J161" s="17" t="s">
        <v>526</v>
      </c>
      <c r="K161" s="18" t="s">
        <v>561</v>
      </c>
      <c r="L161" s="19">
        <v>0</v>
      </c>
      <c r="M161" s="16" t="str">
        <f>DEC2HEX(O161,3)</f>
        <v>002</v>
      </c>
      <c r="N161" s="16" t="str">
        <f>_xlfn.CONCAT(G161," ",H161," ",I161," ",J161," ",K161," ",L161," ",M161)</f>
        <v>GL 06 00 04 A6 0 002</v>
      </c>
      <c r="O161" s="14">
        <v>2</v>
      </c>
      <c r="P161" s="11" t="s">
        <v>7</v>
      </c>
    </row>
    <row r="162" spans="1:16" s="12" customFormat="1" ht="15.75">
      <c r="A162" s="26" t="s">
        <v>560</v>
      </c>
      <c r="B162" s="14" t="s">
        <v>360</v>
      </c>
      <c r="C162" s="14">
        <v>5</v>
      </c>
      <c r="D162" s="15" t="s">
        <v>367</v>
      </c>
      <c r="E162" s="15" t="s">
        <v>300</v>
      </c>
      <c r="F162" s="16" t="s">
        <v>329</v>
      </c>
      <c r="G162" s="16" t="s">
        <v>330</v>
      </c>
      <c r="H162" s="16" t="str">
        <f>""&amp;MID(A162,4,2)</f>
        <v>06</v>
      </c>
      <c r="I162" s="17" t="s">
        <v>319</v>
      </c>
      <c r="J162" s="17" t="s">
        <v>331</v>
      </c>
      <c r="K162" s="18" t="s">
        <v>561</v>
      </c>
      <c r="L162" s="19" t="s">
        <v>368</v>
      </c>
      <c r="M162" s="16" t="str">
        <f>DEC2HEX(O162,3)</f>
        <v>004</v>
      </c>
      <c r="N162" s="16" t="str">
        <f>_xlfn.CONCAT(G162," ",H162," ",I162," ",J162," ",K162," ",L162," ",M162)</f>
        <v>GL 06 00 01 A6 A 004</v>
      </c>
      <c r="O162" s="14">
        <v>4</v>
      </c>
      <c r="P162" s="11" t="s">
        <v>7</v>
      </c>
    </row>
    <row r="163" spans="1:16" s="12" customFormat="1" ht="15.75">
      <c r="A163" s="26" t="s">
        <v>560</v>
      </c>
      <c r="B163" s="14" t="s">
        <v>360</v>
      </c>
      <c r="C163" s="14">
        <v>6</v>
      </c>
      <c r="D163" s="15" t="s">
        <v>367</v>
      </c>
      <c r="E163" s="15" t="s">
        <v>301</v>
      </c>
      <c r="F163" s="16" t="s">
        <v>329</v>
      </c>
      <c r="G163" s="16" t="s">
        <v>330</v>
      </c>
      <c r="H163" s="16" t="str">
        <f>""&amp;MID(A163,4,2)</f>
        <v>06</v>
      </c>
      <c r="I163" s="17" t="s">
        <v>319</v>
      </c>
      <c r="J163" s="17" t="s">
        <v>420</v>
      </c>
      <c r="K163" s="18" t="s">
        <v>561</v>
      </c>
      <c r="L163" s="19" t="s">
        <v>368</v>
      </c>
      <c r="M163" s="16" t="str">
        <f>DEC2HEX(O163,3)</f>
        <v>004</v>
      </c>
      <c r="N163" s="16" t="str">
        <f>_xlfn.CONCAT(G163," ",H163," ",I163," ",J163," ",K163," ",L163," ",M163)</f>
        <v>GL 06 00 02 A6 A 004</v>
      </c>
      <c r="O163" s="14">
        <v>4</v>
      </c>
      <c r="P163" s="11" t="s">
        <v>7</v>
      </c>
    </row>
    <row r="164" spans="1:16" s="12" customFormat="1" ht="15.75">
      <c r="A164" s="26" t="s">
        <v>560</v>
      </c>
      <c r="B164" s="14" t="s">
        <v>360</v>
      </c>
      <c r="C164" s="14">
        <v>7</v>
      </c>
      <c r="D164" s="15" t="s">
        <v>367</v>
      </c>
      <c r="E164" s="15" t="s">
        <v>302</v>
      </c>
      <c r="F164" s="16" t="s">
        <v>329</v>
      </c>
      <c r="G164" s="16" t="s">
        <v>330</v>
      </c>
      <c r="H164" s="16" t="str">
        <f>""&amp;MID(A164,4,2)</f>
        <v>06</v>
      </c>
      <c r="I164" s="17" t="s">
        <v>319</v>
      </c>
      <c r="J164" s="17" t="s">
        <v>443</v>
      </c>
      <c r="K164" s="18" t="s">
        <v>561</v>
      </c>
      <c r="L164" s="19" t="s">
        <v>368</v>
      </c>
      <c r="M164" s="16" t="str">
        <f>DEC2HEX(O164,3)</f>
        <v>004</v>
      </c>
      <c r="N164" s="16" t="str">
        <f>_xlfn.CONCAT(G164," ",H164," ",I164," ",J164," ",K164," ",L164," ",M164)</f>
        <v>GL 06 00 03 A6 A 004</v>
      </c>
      <c r="O164" s="14">
        <v>4</v>
      </c>
      <c r="P164" s="11" t="s">
        <v>7</v>
      </c>
    </row>
    <row r="165" spans="1:16" s="12" customFormat="1" ht="15.75">
      <c r="A165" s="26" t="s">
        <v>560</v>
      </c>
      <c r="B165" s="14" t="s">
        <v>360</v>
      </c>
      <c r="C165" s="14">
        <v>8</v>
      </c>
      <c r="D165" s="15" t="s">
        <v>367</v>
      </c>
      <c r="E165" s="15" t="s">
        <v>303</v>
      </c>
      <c r="F165" s="16" t="s">
        <v>329</v>
      </c>
      <c r="G165" s="16" t="s">
        <v>330</v>
      </c>
      <c r="H165" s="16" t="str">
        <f>""&amp;MID(A165,4,2)</f>
        <v>06</v>
      </c>
      <c r="I165" s="17" t="s">
        <v>319</v>
      </c>
      <c r="J165" s="17" t="s">
        <v>526</v>
      </c>
      <c r="K165" s="18" t="s">
        <v>561</v>
      </c>
      <c r="L165" s="19" t="s">
        <v>368</v>
      </c>
      <c r="M165" s="16" t="str">
        <f>DEC2HEX(O165,3)</f>
        <v>004</v>
      </c>
      <c r="N165" s="16" t="str">
        <f>_xlfn.CONCAT(G165," ",H165," ",I165," ",J165," ",K165," ",L165," ",M165)</f>
        <v>GL 06 00 04 A6 A 004</v>
      </c>
      <c r="O165" s="14">
        <v>4</v>
      </c>
      <c r="P165" s="11" t="s">
        <v>7</v>
      </c>
    </row>
    <row r="166" spans="1:16" s="12" customFormat="1" ht="15.75">
      <c r="A166" s="26" t="s">
        <v>560</v>
      </c>
      <c r="B166" s="14" t="s">
        <v>360</v>
      </c>
      <c r="C166" s="14">
        <v>9</v>
      </c>
      <c r="D166" s="15" t="s">
        <v>366</v>
      </c>
      <c r="E166" s="15" t="s">
        <v>308</v>
      </c>
      <c r="F166" s="16" t="s">
        <v>329</v>
      </c>
      <c r="G166" s="16" t="s">
        <v>330</v>
      </c>
      <c r="H166" s="16" t="str">
        <f>""&amp;MID(A166,4,2)</f>
        <v>06</v>
      </c>
      <c r="I166" s="17" t="s">
        <v>319</v>
      </c>
      <c r="J166" s="17" t="s">
        <v>331</v>
      </c>
      <c r="K166" s="18" t="s">
        <v>561</v>
      </c>
      <c r="L166" s="19">
        <v>0</v>
      </c>
      <c r="M166" s="16" t="str">
        <f>DEC2HEX(O166,3)</f>
        <v>003</v>
      </c>
      <c r="N166" s="16" t="str">
        <f>_xlfn.CONCAT(G166," ",H166," ",I166," ",J166," ",K166," ",L166," ",M166)</f>
        <v>GL 06 00 01 A6 0 003</v>
      </c>
      <c r="O166" s="14">
        <v>3</v>
      </c>
      <c r="P166" s="11" t="s">
        <v>7</v>
      </c>
    </row>
    <row r="167" spans="1:16" s="12" customFormat="1" ht="15.75">
      <c r="A167" s="26" t="s">
        <v>560</v>
      </c>
      <c r="B167" s="14" t="s">
        <v>360</v>
      </c>
      <c r="C167" s="14">
        <v>10</v>
      </c>
      <c r="D167" s="15" t="s">
        <v>366</v>
      </c>
      <c r="E167" s="15" t="s">
        <v>309</v>
      </c>
      <c r="F167" s="16" t="s">
        <v>329</v>
      </c>
      <c r="G167" s="16" t="s">
        <v>330</v>
      </c>
      <c r="H167" s="16" t="str">
        <f>""&amp;MID(A167,4,2)</f>
        <v>06</v>
      </c>
      <c r="I167" s="17" t="s">
        <v>319</v>
      </c>
      <c r="J167" s="17" t="s">
        <v>420</v>
      </c>
      <c r="K167" s="18" t="s">
        <v>561</v>
      </c>
      <c r="L167" s="19">
        <v>0</v>
      </c>
      <c r="M167" s="16" t="str">
        <f>DEC2HEX(O167,3)</f>
        <v>003</v>
      </c>
      <c r="N167" s="16" t="str">
        <f>_xlfn.CONCAT(G167," ",H167," ",I167," ",J167," ",K167," ",L167," ",M167)</f>
        <v>GL 06 00 02 A6 0 003</v>
      </c>
      <c r="O167" s="14">
        <v>3</v>
      </c>
      <c r="P167" s="11" t="s">
        <v>7</v>
      </c>
    </row>
    <row r="168" spans="1:16" s="12" customFormat="1" ht="15.75">
      <c r="A168" s="26" t="s">
        <v>560</v>
      </c>
      <c r="B168" s="14" t="s">
        <v>360</v>
      </c>
      <c r="C168" s="14">
        <v>11</v>
      </c>
      <c r="D168" s="15" t="s">
        <v>366</v>
      </c>
      <c r="E168" s="15" t="s">
        <v>310</v>
      </c>
      <c r="F168" s="16" t="s">
        <v>329</v>
      </c>
      <c r="G168" s="16" t="s">
        <v>330</v>
      </c>
      <c r="H168" s="16" t="str">
        <f>""&amp;MID(A168,4,2)</f>
        <v>06</v>
      </c>
      <c r="I168" s="17" t="s">
        <v>319</v>
      </c>
      <c r="J168" s="17" t="s">
        <v>443</v>
      </c>
      <c r="K168" s="18" t="s">
        <v>561</v>
      </c>
      <c r="L168" s="19">
        <v>0</v>
      </c>
      <c r="M168" s="16" t="str">
        <f>DEC2HEX(O168,3)</f>
        <v>003</v>
      </c>
      <c r="N168" s="16" t="str">
        <f>_xlfn.CONCAT(G168," ",H168," ",I168," ",J168," ",K168," ",L168," ",M168)</f>
        <v>GL 06 00 03 A6 0 003</v>
      </c>
      <c r="O168" s="14">
        <v>3</v>
      </c>
      <c r="P168" s="11" t="s">
        <v>7</v>
      </c>
    </row>
    <row r="169" spans="1:16" s="12" customFormat="1" ht="15.75">
      <c r="A169" s="26" t="s">
        <v>560</v>
      </c>
      <c r="B169" s="14" t="s">
        <v>360</v>
      </c>
      <c r="C169" s="14">
        <v>12</v>
      </c>
      <c r="D169" s="15" t="s">
        <v>366</v>
      </c>
      <c r="E169" s="15" t="s">
        <v>311</v>
      </c>
      <c r="F169" s="16" t="s">
        <v>329</v>
      </c>
      <c r="G169" s="16" t="s">
        <v>330</v>
      </c>
      <c r="H169" s="16" t="str">
        <f>""&amp;MID(A169,4,2)</f>
        <v>06</v>
      </c>
      <c r="I169" s="17" t="s">
        <v>319</v>
      </c>
      <c r="J169" s="17" t="s">
        <v>526</v>
      </c>
      <c r="K169" s="18" t="s">
        <v>561</v>
      </c>
      <c r="L169" s="19">
        <v>0</v>
      </c>
      <c r="M169" s="16" t="str">
        <f>DEC2HEX(O169,3)</f>
        <v>003</v>
      </c>
      <c r="N169" s="16" t="str">
        <f>_xlfn.CONCAT(G169," ",H169," ",I169," ",J169," ",K169," ",L169," ",M169)</f>
        <v>GL 06 00 04 A6 0 003</v>
      </c>
      <c r="O169" s="14">
        <v>3</v>
      </c>
      <c r="P169" s="11" t="s">
        <v>7</v>
      </c>
    </row>
    <row r="170" spans="1:16" s="12" customFormat="1" ht="15.75">
      <c r="A170" s="26" t="s">
        <v>347</v>
      </c>
      <c r="B170" s="14" t="s">
        <v>348</v>
      </c>
      <c r="C170" s="14">
        <v>1</v>
      </c>
      <c r="D170" s="15" t="s">
        <v>375</v>
      </c>
      <c r="E170" s="15" t="s">
        <v>376</v>
      </c>
      <c r="F170" s="16" t="s">
        <v>351</v>
      </c>
      <c r="G170" s="16" t="s">
        <v>330</v>
      </c>
      <c r="H170" s="16" t="str">
        <f>""&amp;MID(A170,4,2)</f>
        <v>07</v>
      </c>
      <c r="I170" s="17" t="s">
        <v>319</v>
      </c>
      <c r="J170" s="17" t="s">
        <v>331</v>
      </c>
      <c r="K170" s="18" t="s">
        <v>362</v>
      </c>
      <c r="L170" s="19">
        <v>0</v>
      </c>
      <c r="M170" s="16" t="str">
        <f>DEC2HEX(O170,3)</f>
        <v>009</v>
      </c>
      <c r="N170" s="16" t="str">
        <f>_xlfn.CONCAT(G170," ",H170," ",I170," ",J170," ",K170," ",L170," ",M170)</f>
        <v>GL 07 00 01 B0 0 009</v>
      </c>
      <c r="O170" s="14">
        <v>9</v>
      </c>
      <c r="P170" s="11" t="s">
        <v>3</v>
      </c>
    </row>
    <row r="171" spans="1:16" s="12" customFormat="1" ht="15.75">
      <c r="A171" s="26" t="s">
        <v>347</v>
      </c>
      <c r="B171" s="14" t="s">
        <v>348</v>
      </c>
      <c r="C171" s="14">
        <v>2</v>
      </c>
      <c r="D171" s="15" t="s">
        <v>377</v>
      </c>
      <c r="E171" s="15" t="s">
        <v>378</v>
      </c>
      <c r="F171" s="16" t="s">
        <v>351</v>
      </c>
      <c r="G171" s="16" t="s">
        <v>330</v>
      </c>
      <c r="H171" s="16" t="str">
        <f>""&amp;MID(A171,4,2)</f>
        <v>07</v>
      </c>
      <c r="I171" s="17" t="s">
        <v>319</v>
      </c>
      <c r="J171" s="17" t="s">
        <v>331</v>
      </c>
      <c r="K171" s="18" t="s">
        <v>362</v>
      </c>
      <c r="L171" s="19">
        <v>0</v>
      </c>
      <c r="M171" s="16" t="str">
        <f>DEC2HEX(O171,3)</f>
        <v>00A</v>
      </c>
      <c r="N171" s="16" t="str">
        <f>_xlfn.CONCAT(G171," ",H171," ",I171," ",J171," ",K171," ",L171," ",M171)</f>
        <v>GL 07 00 01 B0 0 00A</v>
      </c>
      <c r="O171" s="14">
        <v>10</v>
      </c>
      <c r="P171" s="11" t="s">
        <v>3</v>
      </c>
    </row>
    <row r="172" spans="1:16" s="12" customFormat="1" ht="15.75">
      <c r="A172" s="26" t="s">
        <v>347</v>
      </c>
      <c r="B172" s="14" t="s">
        <v>348</v>
      </c>
      <c r="C172" s="14">
        <v>3</v>
      </c>
      <c r="D172" s="15" t="s">
        <v>379</v>
      </c>
      <c r="E172" s="15" t="s">
        <v>380</v>
      </c>
      <c r="F172" s="16" t="s">
        <v>351</v>
      </c>
      <c r="G172" s="16" t="s">
        <v>330</v>
      </c>
      <c r="H172" s="16" t="str">
        <f>""&amp;MID(A172,4,2)</f>
        <v>07</v>
      </c>
      <c r="I172" s="17" t="s">
        <v>319</v>
      </c>
      <c r="J172" s="17" t="s">
        <v>331</v>
      </c>
      <c r="K172" s="18" t="s">
        <v>362</v>
      </c>
      <c r="L172" s="19">
        <v>0</v>
      </c>
      <c r="M172" s="16" t="str">
        <f>DEC2HEX(O172,3)</f>
        <v>00B</v>
      </c>
      <c r="N172" s="16" t="str">
        <f>_xlfn.CONCAT(G172," ",H172," ",I172," ",J172," ",K172," ",L172," ",M172)</f>
        <v>GL 07 00 01 B0 0 00B</v>
      </c>
      <c r="O172" s="14">
        <v>11</v>
      </c>
      <c r="P172" s="11" t="s">
        <v>3</v>
      </c>
    </row>
    <row r="173" spans="1:16" s="12" customFormat="1" ht="15.75">
      <c r="A173" s="26" t="s">
        <v>347</v>
      </c>
      <c r="B173" s="14" t="s">
        <v>348</v>
      </c>
      <c r="C173" s="14">
        <v>4</v>
      </c>
      <c r="D173" s="15" t="s">
        <v>381</v>
      </c>
      <c r="E173" s="15" t="s">
        <v>382</v>
      </c>
      <c r="F173" s="16" t="s">
        <v>351</v>
      </c>
      <c r="G173" s="16" t="s">
        <v>330</v>
      </c>
      <c r="H173" s="16" t="str">
        <f>""&amp;MID(A173,4,2)</f>
        <v>07</v>
      </c>
      <c r="I173" s="17" t="s">
        <v>319</v>
      </c>
      <c r="J173" s="17" t="s">
        <v>331</v>
      </c>
      <c r="K173" s="18" t="s">
        <v>362</v>
      </c>
      <c r="L173" s="19">
        <v>0</v>
      </c>
      <c r="M173" s="16" t="str">
        <f>DEC2HEX(O173,3)</f>
        <v>00C</v>
      </c>
      <c r="N173" s="16" t="str">
        <f>_xlfn.CONCAT(G173," ",H173," ",I173," ",J173," ",K173," ",L173," ",M173)</f>
        <v>GL 07 00 01 B0 0 00C</v>
      </c>
      <c r="O173" s="14">
        <v>12</v>
      </c>
      <c r="P173" s="11" t="s">
        <v>3</v>
      </c>
    </row>
    <row r="174" spans="1:16" s="12" customFormat="1" ht="15.75">
      <c r="A174" s="26" t="s">
        <v>347</v>
      </c>
      <c r="B174" s="14" t="s">
        <v>348</v>
      </c>
      <c r="C174" s="14">
        <v>5</v>
      </c>
      <c r="D174" s="15" t="s">
        <v>383</v>
      </c>
      <c r="E174" s="15" t="s">
        <v>384</v>
      </c>
      <c r="F174" s="16" t="s">
        <v>351</v>
      </c>
      <c r="G174" s="16" t="s">
        <v>330</v>
      </c>
      <c r="H174" s="16" t="str">
        <f>""&amp;MID(A174,4,2)</f>
        <v>07</v>
      </c>
      <c r="I174" s="17" t="s">
        <v>319</v>
      </c>
      <c r="J174" s="17" t="s">
        <v>331</v>
      </c>
      <c r="K174" s="18" t="s">
        <v>362</v>
      </c>
      <c r="L174" s="19">
        <v>0</v>
      </c>
      <c r="M174" s="16" t="str">
        <f>DEC2HEX(O174,3)</f>
        <v>00D</v>
      </c>
      <c r="N174" s="16" t="str">
        <f>_xlfn.CONCAT(G174," ",H174," ",I174," ",J174," ",K174," ",L174," ",M174)</f>
        <v>GL 07 00 01 B0 0 00D</v>
      </c>
      <c r="O174" s="14">
        <v>13</v>
      </c>
      <c r="P174" s="11" t="s">
        <v>3</v>
      </c>
    </row>
    <row r="175" spans="1:16" s="12" customFormat="1" ht="15.75">
      <c r="A175" s="26" t="s">
        <v>347</v>
      </c>
      <c r="B175" s="14" t="s">
        <v>348</v>
      </c>
      <c r="C175" s="14">
        <v>6</v>
      </c>
      <c r="D175" s="15" t="s">
        <v>385</v>
      </c>
      <c r="E175" s="15" t="s">
        <v>386</v>
      </c>
      <c r="F175" s="16" t="s">
        <v>351</v>
      </c>
      <c r="G175" s="16" t="s">
        <v>330</v>
      </c>
      <c r="H175" s="16" t="str">
        <f>""&amp;MID(A175,4,2)</f>
        <v>07</v>
      </c>
      <c r="I175" s="17" t="s">
        <v>319</v>
      </c>
      <c r="J175" s="17" t="s">
        <v>331</v>
      </c>
      <c r="K175" s="18" t="s">
        <v>362</v>
      </c>
      <c r="L175" s="19">
        <v>0</v>
      </c>
      <c r="M175" s="16" t="str">
        <f>DEC2HEX(O175,3)</f>
        <v>00E</v>
      </c>
      <c r="N175" s="16" t="str">
        <f>_xlfn.CONCAT(G175," ",H175," ",I175," ",J175," ",K175," ",L175," ",M175)</f>
        <v>GL 07 00 01 B0 0 00E</v>
      </c>
      <c r="O175" s="14">
        <v>14</v>
      </c>
      <c r="P175" s="11" t="s">
        <v>3</v>
      </c>
    </row>
    <row r="176" spans="1:16" s="12" customFormat="1" ht="15.75">
      <c r="A176" s="26" t="s">
        <v>347</v>
      </c>
      <c r="B176" s="14" t="s">
        <v>348</v>
      </c>
      <c r="C176" s="14">
        <v>7</v>
      </c>
      <c r="D176" s="15" t="s">
        <v>387</v>
      </c>
      <c r="E176" s="15" t="s">
        <v>388</v>
      </c>
      <c r="F176" s="16" t="s">
        <v>351</v>
      </c>
      <c r="G176" s="16" t="s">
        <v>330</v>
      </c>
      <c r="H176" s="16" t="str">
        <f>""&amp;MID(A176,4,2)</f>
        <v>07</v>
      </c>
      <c r="I176" s="17" t="s">
        <v>319</v>
      </c>
      <c r="J176" s="17" t="s">
        <v>331</v>
      </c>
      <c r="K176" s="18" t="s">
        <v>362</v>
      </c>
      <c r="L176" s="19">
        <v>0</v>
      </c>
      <c r="M176" s="16" t="str">
        <f>DEC2HEX(O176,3)</f>
        <v>00F</v>
      </c>
      <c r="N176" s="16" t="str">
        <f>_xlfn.CONCAT(G176," ",H176," ",I176," ",J176," ",K176," ",L176," ",M176)</f>
        <v>GL 07 00 01 B0 0 00F</v>
      </c>
      <c r="O176" s="14">
        <v>15</v>
      </c>
      <c r="P176" s="11" t="s">
        <v>3</v>
      </c>
    </row>
    <row r="177" spans="1:16" s="12" customFormat="1" ht="15.75">
      <c r="A177" s="26" t="s">
        <v>347</v>
      </c>
      <c r="B177" s="14" t="s">
        <v>348</v>
      </c>
      <c r="C177" s="14">
        <v>8</v>
      </c>
      <c r="D177" s="15" t="s">
        <v>389</v>
      </c>
      <c r="E177" s="15" t="s">
        <v>390</v>
      </c>
      <c r="F177" s="16" t="s">
        <v>351</v>
      </c>
      <c r="G177" s="16" t="s">
        <v>330</v>
      </c>
      <c r="H177" s="16" t="str">
        <f>""&amp;MID(A177,4,2)</f>
        <v>07</v>
      </c>
      <c r="I177" s="17" t="s">
        <v>319</v>
      </c>
      <c r="J177" s="17" t="s">
        <v>331</v>
      </c>
      <c r="K177" s="18" t="s">
        <v>362</v>
      </c>
      <c r="L177" s="19">
        <v>0</v>
      </c>
      <c r="M177" s="16" t="str">
        <f>DEC2HEX(O177,3)</f>
        <v>010</v>
      </c>
      <c r="N177" s="16" t="str">
        <f>_xlfn.CONCAT(G177," ",H177," ",I177," ",J177," ",K177," ",L177," ",M177)</f>
        <v>GL 07 00 01 B0 0 010</v>
      </c>
      <c r="O177" s="14">
        <v>16</v>
      </c>
      <c r="P177" s="11" t="s">
        <v>3</v>
      </c>
    </row>
    <row r="178" spans="1:16" s="12" customFormat="1" ht="15.75">
      <c r="A178" s="26" t="s">
        <v>347</v>
      </c>
      <c r="B178" s="14" t="s">
        <v>348</v>
      </c>
      <c r="C178" s="14">
        <v>9</v>
      </c>
      <c r="D178" s="15" t="s">
        <v>391</v>
      </c>
      <c r="E178" s="15" t="s">
        <v>392</v>
      </c>
      <c r="F178" s="16" t="s">
        <v>351</v>
      </c>
      <c r="G178" s="16" t="s">
        <v>330</v>
      </c>
      <c r="H178" s="16" t="str">
        <f>""&amp;MID(A178,4,2)</f>
        <v>07</v>
      </c>
      <c r="I178" s="17" t="s">
        <v>319</v>
      </c>
      <c r="J178" s="17" t="s">
        <v>331</v>
      </c>
      <c r="K178" s="18" t="s">
        <v>362</v>
      </c>
      <c r="L178" s="19">
        <v>0</v>
      </c>
      <c r="M178" s="16" t="str">
        <f>DEC2HEX(O178,3)</f>
        <v>011</v>
      </c>
      <c r="N178" s="16" t="str">
        <f>_xlfn.CONCAT(G178," ",H178," ",I178," ",J178," ",K178," ",L178," ",M178)</f>
        <v>GL 07 00 01 B0 0 011</v>
      </c>
      <c r="O178" s="14">
        <v>17</v>
      </c>
      <c r="P178" s="11" t="s">
        <v>3</v>
      </c>
    </row>
    <row r="179" spans="1:16" s="12" customFormat="1" ht="15.75">
      <c r="A179" s="26" t="s">
        <v>347</v>
      </c>
      <c r="B179" s="14" t="s">
        <v>348</v>
      </c>
      <c r="C179" s="14">
        <v>10</v>
      </c>
      <c r="D179" s="15" t="s">
        <v>393</v>
      </c>
      <c r="E179" s="15" t="s">
        <v>394</v>
      </c>
      <c r="F179" s="16" t="s">
        <v>351</v>
      </c>
      <c r="G179" s="16" t="s">
        <v>330</v>
      </c>
      <c r="H179" s="16" t="str">
        <f>""&amp;MID(A179,4,2)</f>
        <v>07</v>
      </c>
      <c r="I179" s="17" t="s">
        <v>319</v>
      </c>
      <c r="J179" s="17" t="s">
        <v>331</v>
      </c>
      <c r="K179" s="18" t="s">
        <v>362</v>
      </c>
      <c r="L179" s="19">
        <v>0</v>
      </c>
      <c r="M179" s="16" t="str">
        <f>DEC2HEX(O179,3)</f>
        <v>012</v>
      </c>
      <c r="N179" s="16" t="str">
        <f>_xlfn.CONCAT(G179," ",H179," ",I179," ",J179," ",K179," ",L179," ",M179)</f>
        <v>GL 07 00 01 B0 0 012</v>
      </c>
      <c r="O179" s="14">
        <v>18</v>
      </c>
      <c r="P179" s="11" t="s">
        <v>3</v>
      </c>
    </row>
    <row r="180" spans="1:16" s="12" customFormat="1" ht="15.75">
      <c r="A180" s="26" t="s">
        <v>347</v>
      </c>
      <c r="B180" s="14" t="s">
        <v>348</v>
      </c>
      <c r="C180" s="14">
        <v>11</v>
      </c>
      <c r="D180" s="15" t="s">
        <v>395</v>
      </c>
      <c r="E180" s="15" t="s">
        <v>396</v>
      </c>
      <c r="F180" s="16" t="s">
        <v>351</v>
      </c>
      <c r="G180" s="16" t="s">
        <v>330</v>
      </c>
      <c r="H180" s="16" t="str">
        <f>""&amp;MID(A180,4,2)</f>
        <v>07</v>
      </c>
      <c r="I180" s="17" t="s">
        <v>319</v>
      </c>
      <c r="J180" s="17" t="s">
        <v>331</v>
      </c>
      <c r="K180" s="18" t="s">
        <v>362</v>
      </c>
      <c r="L180" s="19">
        <v>0</v>
      </c>
      <c r="M180" s="16" t="str">
        <f>DEC2HEX(O180,3)</f>
        <v>013</v>
      </c>
      <c r="N180" s="16" t="str">
        <f>_xlfn.CONCAT(G180," ",H180," ",I180," ",J180," ",K180," ",L180," ",M180)</f>
        <v>GL 07 00 01 B0 0 013</v>
      </c>
      <c r="O180" s="14">
        <v>19</v>
      </c>
      <c r="P180" s="11" t="s">
        <v>3</v>
      </c>
    </row>
    <row r="181" spans="1:16" s="12" customFormat="1" ht="15.75">
      <c r="A181" s="26" t="s">
        <v>347</v>
      </c>
      <c r="B181" s="14" t="s">
        <v>348</v>
      </c>
      <c r="C181" s="14">
        <v>12</v>
      </c>
      <c r="D181" s="15" t="s">
        <v>397</v>
      </c>
      <c r="E181" s="15" t="s">
        <v>398</v>
      </c>
      <c r="F181" s="16" t="s">
        <v>351</v>
      </c>
      <c r="G181" s="16" t="s">
        <v>330</v>
      </c>
      <c r="H181" s="16" t="str">
        <f>""&amp;MID(A181,4,2)</f>
        <v>07</v>
      </c>
      <c r="I181" s="17" t="s">
        <v>319</v>
      </c>
      <c r="J181" s="17" t="s">
        <v>331</v>
      </c>
      <c r="K181" s="18" t="s">
        <v>362</v>
      </c>
      <c r="L181" s="19">
        <v>0</v>
      </c>
      <c r="M181" s="16" t="str">
        <f>DEC2HEX(O181,3)</f>
        <v>014</v>
      </c>
      <c r="N181" s="16" t="str">
        <f>_xlfn.CONCAT(G181," ",H181," ",I181," ",J181," ",K181," ",L181," ",M181)</f>
        <v>GL 07 00 01 B0 0 014</v>
      </c>
      <c r="O181" s="14">
        <v>20</v>
      </c>
      <c r="P181" s="11" t="s">
        <v>3</v>
      </c>
    </row>
    <row r="182" spans="1:16" s="12" customFormat="1" ht="15.75">
      <c r="A182" s="26" t="s">
        <v>347</v>
      </c>
      <c r="B182" s="14" t="s">
        <v>348</v>
      </c>
      <c r="C182" s="14">
        <v>13</v>
      </c>
      <c r="D182" s="15" t="s">
        <v>399</v>
      </c>
      <c r="E182" s="15" t="s">
        <v>400</v>
      </c>
      <c r="F182" s="16" t="s">
        <v>351</v>
      </c>
      <c r="G182" s="16" t="s">
        <v>330</v>
      </c>
      <c r="H182" s="16" t="str">
        <f>""&amp;MID(A182,4,2)</f>
        <v>07</v>
      </c>
      <c r="I182" s="17" t="s">
        <v>319</v>
      </c>
      <c r="J182" s="17" t="s">
        <v>331</v>
      </c>
      <c r="K182" s="18" t="s">
        <v>362</v>
      </c>
      <c r="L182" s="19">
        <v>0</v>
      </c>
      <c r="M182" s="16" t="str">
        <f>DEC2HEX(O182,3)</f>
        <v>015</v>
      </c>
      <c r="N182" s="16" t="str">
        <f>_xlfn.CONCAT(G182," ",H182," ",I182," ",J182," ",K182," ",L182," ",M182)</f>
        <v>GL 07 00 01 B0 0 015</v>
      </c>
      <c r="O182" s="14">
        <v>21</v>
      </c>
      <c r="P182" s="11" t="s">
        <v>3</v>
      </c>
    </row>
    <row r="183" spans="1:16" s="12" customFormat="1" ht="15.75">
      <c r="A183" s="26" t="s">
        <v>347</v>
      </c>
      <c r="B183" s="14" t="s">
        <v>348</v>
      </c>
      <c r="C183" s="14">
        <v>14</v>
      </c>
      <c r="D183" s="15" t="s">
        <v>401</v>
      </c>
      <c r="E183" s="15" t="s">
        <v>402</v>
      </c>
      <c r="F183" s="16" t="s">
        <v>351</v>
      </c>
      <c r="G183" s="16" t="s">
        <v>330</v>
      </c>
      <c r="H183" s="16" t="str">
        <f>""&amp;MID(A183,4,2)</f>
        <v>07</v>
      </c>
      <c r="I183" s="17" t="s">
        <v>319</v>
      </c>
      <c r="J183" s="17" t="s">
        <v>331</v>
      </c>
      <c r="K183" s="18" t="s">
        <v>362</v>
      </c>
      <c r="L183" s="19">
        <v>0</v>
      </c>
      <c r="M183" s="16" t="str">
        <f>DEC2HEX(O183,3)</f>
        <v>016</v>
      </c>
      <c r="N183" s="16" t="str">
        <f>_xlfn.CONCAT(G183," ",H183," ",I183," ",J183," ",K183," ",L183," ",M183)</f>
        <v>GL 07 00 01 B0 0 016</v>
      </c>
      <c r="O183" s="14">
        <v>22</v>
      </c>
      <c r="P183" s="11" t="s">
        <v>3</v>
      </c>
    </row>
    <row r="184" spans="1:16" s="12" customFormat="1" ht="15.75">
      <c r="A184" s="26" t="s">
        <v>347</v>
      </c>
      <c r="B184" s="14" t="s">
        <v>348</v>
      </c>
      <c r="C184" s="14">
        <v>15</v>
      </c>
      <c r="D184" s="15" t="s">
        <v>403</v>
      </c>
      <c r="E184" s="15" t="s">
        <v>404</v>
      </c>
      <c r="F184" s="16" t="s">
        <v>351</v>
      </c>
      <c r="G184" s="16" t="s">
        <v>330</v>
      </c>
      <c r="H184" s="16" t="str">
        <f>""&amp;MID(A184,4,2)</f>
        <v>07</v>
      </c>
      <c r="I184" s="17" t="s">
        <v>319</v>
      </c>
      <c r="J184" s="17" t="s">
        <v>331</v>
      </c>
      <c r="K184" s="18" t="s">
        <v>362</v>
      </c>
      <c r="L184" s="19">
        <v>0</v>
      </c>
      <c r="M184" s="16" t="str">
        <f>DEC2HEX(O184,3)</f>
        <v>017</v>
      </c>
      <c r="N184" s="16" t="str">
        <f>_xlfn.CONCAT(G184," ",H184," ",I184," ",J184," ",K184," ",L184," ",M184)</f>
        <v>GL 07 00 01 B0 0 017</v>
      </c>
      <c r="O184" s="14">
        <v>23</v>
      </c>
      <c r="P184" s="11" t="s">
        <v>3</v>
      </c>
    </row>
    <row r="185" spans="1:16" s="12" customFormat="1" ht="15.75">
      <c r="A185" s="26" t="s">
        <v>347</v>
      </c>
      <c r="B185" s="14" t="s">
        <v>405</v>
      </c>
      <c r="C185" s="14">
        <v>16</v>
      </c>
      <c r="D185" s="15" t="s">
        <v>406</v>
      </c>
      <c r="E185" s="15" t="s">
        <v>407</v>
      </c>
      <c r="F185" s="16" t="s">
        <v>351</v>
      </c>
      <c r="G185" s="16" t="s">
        <v>330</v>
      </c>
      <c r="H185" s="16" t="str">
        <f>""&amp;MID(A185,4,2)</f>
        <v>07</v>
      </c>
      <c r="I185" s="17" t="s">
        <v>319</v>
      </c>
      <c r="J185" s="17" t="s">
        <v>331</v>
      </c>
      <c r="K185" s="18" t="s">
        <v>362</v>
      </c>
      <c r="L185" s="19">
        <v>0</v>
      </c>
      <c r="M185" s="16" t="str">
        <f>DEC2HEX(O185,3)</f>
        <v>018</v>
      </c>
      <c r="N185" s="16" t="str">
        <f>_xlfn.CONCAT(G185," ",H185," ",I185," ",J185," ",K185," ",L185," ",M185)</f>
        <v>GL 07 00 01 B0 0 018</v>
      </c>
      <c r="O185" s="14">
        <v>24</v>
      </c>
      <c r="P185" s="11" t="s">
        <v>3</v>
      </c>
    </row>
    <row r="186" spans="1:16" s="12" customFormat="1" ht="15.75">
      <c r="A186" s="26" t="s">
        <v>347</v>
      </c>
      <c r="B186" s="14" t="s">
        <v>405</v>
      </c>
      <c r="C186" s="14">
        <v>17</v>
      </c>
      <c r="D186" s="15" t="s">
        <v>408</v>
      </c>
      <c r="E186" s="15" t="s">
        <v>409</v>
      </c>
      <c r="F186" s="16" t="s">
        <v>351</v>
      </c>
      <c r="G186" s="16" t="s">
        <v>330</v>
      </c>
      <c r="H186" s="16" t="str">
        <f>""&amp;MID(A186,4,2)</f>
        <v>07</v>
      </c>
      <c r="I186" s="17" t="s">
        <v>319</v>
      </c>
      <c r="J186" s="17" t="s">
        <v>331</v>
      </c>
      <c r="K186" s="18" t="s">
        <v>362</v>
      </c>
      <c r="L186" s="19">
        <v>0</v>
      </c>
      <c r="M186" s="16" t="str">
        <f>DEC2HEX(O186,3)</f>
        <v>019</v>
      </c>
      <c r="N186" s="16" t="str">
        <f>_xlfn.CONCAT(G186," ",H186," ",I186," ",J186," ",K186," ",L186," ",M186)</f>
        <v>GL 07 00 01 B0 0 019</v>
      </c>
      <c r="O186" s="14">
        <v>25</v>
      </c>
      <c r="P186" s="11" t="s">
        <v>3</v>
      </c>
    </row>
    <row r="187" spans="1:16" s="12" customFormat="1" ht="15.75">
      <c r="A187" s="26" t="s">
        <v>347</v>
      </c>
      <c r="B187" s="14" t="s">
        <v>405</v>
      </c>
      <c r="C187" s="14">
        <v>18</v>
      </c>
      <c r="D187" s="15" t="s">
        <v>410</v>
      </c>
      <c r="E187" s="15" t="s">
        <v>411</v>
      </c>
      <c r="F187" s="16" t="s">
        <v>351</v>
      </c>
      <c r="G187" s="16" t="s">
        <v>330</v>
      </c>
      <c r="H187" s="16" t="str">
        <f>""&amp;MID(A187,4,2)</f>
        <v>07</v>
      </c>
      <c r="I187" s="17" t="s">
        <v>319</v>
      </c>
      <c r="J187" s="17" t="s">
        <v>331</v>
      </c>
      <c r="K187" s="18" t="s">
        <v>362</v>
      </c>
      <c r="L187" s="19">
        <v>0</v>
      </c>
      <c r="M187" s="16" t="str">
        <f>DEC2HEX(O187,3)</f>
        <v>01A</v>
      </c>
      <c r="N187" s="16" t="str">
        <f>_xlfn.CONCAT(G187," ",H187," ",I187," ",J187," ",K187," ",L187," ",M187)</f>
        <v>GL 07 00 01 B0 0 01A</v>
      </c>
      <c r="O187" s="14">
        <v>26</v>
      </c>
      <c r="P187" s="11" t="s">
        <v>3</v>
      </c>
    </row>
    <row r="188" spans="1:16" s="12" customFormat="1" ht="15.75">
      <c r="A188" s="26" t="s">
        <v>347</v>
      </c>
      <c r="B188" s="14" t="s">
        <v>405</v>
      </c>
      <c r="C188" s="14">
        <v>19</v>
      </c>
      <c r="D188" s="15" t="s">
        <v>412</v>
      </c>
      <c r="E188" s="15" t="s">
        <v>413</v>
      </c>
      <c r="F188" s="16" t="s">
        <v>351</v>
      </c>
      <c r="G188" s="16" t="s">
        <v>330</v>
      </c>
      <c r="H188" s="16" t="str">
        <f>""&amp;MID(A188,4,2)</f>
        <v>07</v>
      </c>
      <c r="I188" s="17" t="s">
        <v>319</v>
      </c>
      <c r="J188" s="17" t="s">
        <v>331</v>
      </c>
      <c r="K188" s="18" t="s">
        <v>362</v>
      </c>
      <c r="L188" s="19" t="s">
        <v>368</v>
      </c>
      <c r="M188" s="16" t="str">
        <f>DEC2HEX(O188,3)</f>
        <v>01B</v>
      </c>
      <c r="N188" s="16" t="str">
        <f>_xlfn.CONCAT(G188," ",H188," ",I188," ",J188," ",K188," ",L188," ",M188)</f>
        <v>GL 07 00 01 B0 A 01B</v>
      </c>
      <c r="O188" s="14">
        <v>27</v>
      </c>
      <c r="P188" s="11" t="s">
        <v>3</v>
      </c>
    </row>
    <row r="189" spans="1:16" s="12" customFormat="1" ht="15.75">
      <c r="A189" s="26" t="s">
        <v>347</v>
      </c>
      <c r="B189" s="14" t="s">
        <v>405</v>
      </c>
      <c r="C189" s="14">
        <v>20</v>
      </c>
      <c r="D189" s="15" t="s">
        <v>414</v>
      </c>
      <c r="E189" s="15" t="s">
        <v>415</v>
      </c>
      <c r="F189" s="16" t="s">
        <v>351</v>
      </c>
      <c r="G189" s="16" t="s">
        <v>330</v>
      </c>
      <c r="H189" s="16" t="str">
        <f>""&amp;MID(A189,4,2)</f>
        <v>07</v>
      </c>
      <c r="I189" s="17" t="s">
        <v>319</v>
      </c>
      <c r="J189" s="17" t="s">
        <v>331</v>
      </c>
      <c r="K189" s="18" t="s">
        <v>362</v>
      </c>
      <c r="L189" s="19" t="s">
        <v>368</v>
      </c>
      <c r="M189" s="16" t="str">
        <f>DEC2HEX(O189,3)</f>
        <v>01C</v>
      </c>
      <c r="N189" s="16" t="str">
        <f>_xlfn.CONCAT(G189," ",H189," ",I189," ",J189," ",K189," ",L189," ",M189)</f>
        <v>GL 07 00 01 B0 A 01C</v>
      </c>
      <c r="O189" s="14">
        <v>28</v>
      </c>
      <c r="P189" s="11" t="s">
        <v>3</v>
      </c>
    </row>
    <row r="190" spans="1:16" s="12" customFormat="1" ht="15.75">
      <c r="A190" s="26" t="s">
        <v>347</v>
      </c>
      <c r="B190" s="14" t="s">
        <v>348</v>
      </c>
      <c r="C190" s="14">
        <v>21</v>
      </c>
      <c r="D190" s="15" t="s">
        <v>416</v>
      </c>
      <c r="E190" s="15" t="s">
        <v>417</v>
      </c>
      <c r="F190" s="16" t="s">
        <v>351</v>
      </c>
      <c r="G190" s="16" t="s">
        <v>330</v>
      </c>
      <c r="H190" s="16" t="str">
        <f>""&amp;MID(A190,4,2)</f>
        <v>07</v>
      </c>
      <c r="I190" s="17" t="s">
        <v>319</v>
      </c>
      <c r="J190" s="17" t="s">
        <v>331</v>
      </c>
      <c r="K190" s="18" t="s">
        <v>362</v>
      </c>
      <c r="L190" s="19">
        <v>0</v>
      </c>
      <c r="M190" s="16" t="str">
        <f>DEC2HEX(O190,3)</f>
        <v>01D</v>
      </c>
      <c r="N190" s="16" t="str">
        <f>_xlfn.CONCAT(G190," ",H190," ",I190," ",J190," ",K190," ",L190," ",M190)</f>
        <v>GL 07 00 01 B0 0 01D</v>
      </c>
      <c r="O190" s="14">
        <v>29</v>
      </c>
      <c r="P190" s="11" t="s">
        <v>3</v>
      </c>
    </row>
    <row r="191" spans="1:16" s="12" customFormat="1" ht="15.75">
      <c r="A191" s="26" t="s">
        <v>347</v>
      </c>
      <c r="B191" s="14" t="s">
        <v>348</v>
      </c>
      <c r="C191" s="14">
        <v>22</v>
      </c>
      <c r="D191" s="15" t="s">
        <v>418</v>
      </c>
      <c r="E191" s="15" t="s">
        <v>419</v>
      </c>
      <c r="F191" s="16" t="s">
        <v>351</v>
      </c>
      <c r="G191" s="16" t="s">
        <v>330</v>
      </c>
      <c r="H191" s="16" t="str">
        <f>""&amp;MID(A191,4,2)</f>
        <v>07</v>
      </c>
      <c r="I191" s="17" t="s">
        <v>319</v>
      </c>
      <c r="J191" s="17" t="s">
        <v>331</v>
      </c>
      <c r="K191" s="18" t="s">
        <v>362</v>
      </c>
      <c r="L191" s="19">
        <v>0</v>
      </c>
      <c r="M191" s="16" t="str">
        <f>DEC2HEX(O191,3)</f>
        <v>01E</v>
      </c>
      <c r="N191" s="16" t="str">
        <f>_xlfn.CONCAT(G191," ",H191," ",I191," ",J191," ",K191," ",L191," ",M191)</f>
        <v>GL 07 00 01 B0 0 01E</v>
      </c>
      <c r="O191" s="14">
        <v>30</v>
      </c>
      <c r="P191" s="11" t="s">
        <v>3</v>
      </c>
    </row>
    <row r="192" spans="1:16" s="12" customFormat="1" ht="15.75">
      <c r="A192" s="26" t="s">
        <v>347</v>
      </c>
      <c r="B192" s="14" t="s">
        <v>348</v>
      </c>
      <c r="C192" s="14">
        <v>23</v>
      </c>
      <c r="D192" s="15" t="s">
        <v>375</v>
      </c>
      <c r="E192" s="15" t="s">
        <v>421</v>
      </c>
      <c r="F192" s="16" t="s">
        <v>351</v>
      </c>
      <c r="G192" s="16" t="s">
        <v>330</v>
      </c>
      <c r="H192" s="16" t="str">
        <f>""&amp;MID(A192,4,2)</f>
        <v>07</v>
      </c>
      <c r="I192" s="17" t="s">
        <v>319</v>
      </c>
      <c r="J192" s="17" t="s">
        <v>420</v>
      </c>
      <c r="K192" s="18" t="s">
        <v>362</v>
      </c>
      <c r="L192" s="19">
        <v>0</v>
      </c>
      <c r="M192" s="16" t="str">
        <f>DEC2HEX(O192,3)</f>
        <v>009</v>
      </c>
      <c r="N192" s="16" t="str">
        <f>_xlfn.CONCAT(G192," ",H192," ",I192," ",J192," ",K192," ",L192," ",M192)</f>
        <v>GL 07 00 02 B0 0 009</v>
      </c>
      <c r="O192" s="14">
        <v>9</v>
      </c>
      <c r="P192" s="11" t="s">
        <v>3</v>
      </c>
    </row>
    <row r="193" spans="1:16" s="12" customFormat="1" ht="15.75">
      <c r="A193" s="26" t="s">
        <v>347</v>
      </c>
      <c r="B193" s="14" t="s">
        <v>348</v>
      </c>
      <c r="C193" s="14">
        <v>24</v>
      </c>
      <c r="D193" s="15" t="s">
        <v>377</v>
      </c>
      <c r="E193" s="15" t="s">
        <v>422</v>
      </c>
      <c r="F193" s="16" t="s">
        <v>351</v>
      </c>
      <c r="G193" s="16" t="s">
        <v>330</v>
      </c>
      <c r="H193" s="16" t="str">
        <f>""&amp;MID(A193,4,2)</f>
        <v>07</v>
      </c>
      <c r="I193" s="17" t="s">
        <v>319</v>
      </c>
      <c r="J193" s="17" t="s">
        <v>420</v>
      </c>
      <c r="K193" s="18" t="s">
        <v>362</v>
      </c>
      <c r="L193" s="19">
        <v>0</v>
      </c>
      <c r="M193" s="16" t="str">
        <f>DEC2HEX(O193,3)</f>
        <v>00A</v>
      </c>
      <c r="N193" s="16" t="str">
        <f>_xlfn.CONCAT(G193," ",H193," ",I193," ",J193," ",K193," ",L193," ",M193)</f>
        <v>GL 07 00 02 B0 0 00A</v>
      </c>
      <c r="O193" s="14">
        <v>10</v>
      </c>
      <c r="P193" s="11" t="s">
        <v>3</v>
      </c>
    </row>
    <row r="194" spans="1:16" s="12" customFormat="1" ht="15.75">
      <c r="A194" s="26" t="s">
        <v>347</v>
      </c>
      <c r="B194" s="14" t="s">
        <v>348</v>
      </c>
      <c r="C194" s="14">
        <v>25</v>
      </c>
      <c r="D194" s="15" t="s">
        <v>379</v>
      </c>
      <c r="E194" s="15" t="s">
        <v>423</v>
      </c>
      <c r="F194" s="16" t="s">
        <v>351</v>
      </c>
      <c r="G194" s="16" t="s">
        <v>330</v>
      </c>
      <c r="H194" s="16" t="str">
        <f>""&amp;MID(A194,4,2)</f>
        <v>07</v>
      </c>
      <c r="I194" s="17" t="s">
        <v>319</v>
      </c>
      <c r="J194" s="17" t="s">
        <v>420</v>
      </c>
      <c r="K194" s="18" t="s">
        <v>362</v>
      </c>
      <c r="L194" s="19">
        <v>0</v>
      </c>
      <c r="M194" s="16" t="str">
        <f>DEC2HEX(O194,3)</f>
        <v>00B</v>
      </c>
      <c r="N194" s="16" t="str">
        <f>_xlfn.CONCAT(G194," ",H194," ",I194," ",J194," ",K194," ",L194," ",M194)</f>
        <v>GL 07 00 02 B0 0 00B</v>
      </c>
      <c r="O194" s="14">
        <v>11</v>
      </c>
      <c r="P194" s="11" t="s">
        <v>3</v>
      </c>
    </row>
    <row r="195" spans="1:16" s="12" customFormat="1" ht="15.75">
      <c r="A195" s="26" t="s">
        <v>347</v>
      </c>
      <c r="B195" s="14" t="s">
        <v>348</v>
      </c>
      <c r="C195" s="14">
        <v>26</v>
      </c>
      <c r="D195" s="15" t="s">
        <v>381</v>
      </c>
      <c r="E195" s="15" t="s">
        <v>424</v>
      </c>
      <c r="F195" s="16" t="s">
        <v>351</v>
      </c>
      <c r="G195" s="16" t="s">
        <v>330</v>
      </c>
      <c r="H195" s="16" t="str">
        <f>""&amp;MID(A195,4,2)</f>
        <v>07</v>
      </c>
      <c r="I195" s="17" t="s">
        <v>319</v>
      </c>
      <c r="J195" s="17" t="s">
        <v>420</v>
      </c>
      <c r="K195" s="18" t="s">
        <v>362</v>
      </c>
      <c r="L195" s="19">
        <v>0</v>
      </c>
      <c r="M195" s="16" t="str">
        <f>DEC2HEX(O195,3)</f>
        <v>00C</v>
      </c>
      <c r="N195" s="16" t="str">
        <f>_xlfn.CONCAT(G195," ",H195," ",I195," ",J195," ",K195," ",L195," ",M195)</f>
        <v>GL 07 00 02 B0 0 00C</v>
      </c>
      <c r="O195" s="14">
        <v>12</v>
      </c>
      <c r="P195" s="11" t="s">
        <v>3</v>
      </c>
    </row>
    <row r="196" spans="1:16" s="12" customFormat="1" ht="15.75">
      <c r="A196" s="26" t="s">
        <v>347</v>
      </c>
      <c r="B196" s="14" t="s">
        <v>348</v>
      </c>
      <c r="C196" s="14">
        <v>27</v>
      </c>
      <c r="D196" s="15" t="s">
        <v>383</v>
      </c>
      <c r="E196" s="15" t="s">
        <v>425</v>
      </c>
      <c r="F196" s="16" t="s">
        <v>351</v>
      </c>
      <c r="G196" s="16" t="s">
        <v>330</v>
      </c>
      <c r="H196" s="16" t="str">
        <f>""&amp;MID(A196,4,2)</f>
        <v>07</v>
      </c>
      <c r="I196" s="17" t="s">
        <v>319</v>
      </c>
      <c r="J196" s="17" t="s">
        <v>420</v>
      </c>
      <c r="K196" s="18" t="s">
        <v>362</v>
      </c>
      <c r="L196" s="19">
        <v>0</v>
      </c>
      <c r="M196" s="16" t="str">
        <f>DEC2HEX(O196,3)</f>
        <v>00D</v>
      </c>
      <c r="N196" s="16" t="str">
        <f>_xlfn.CONCAT(G196," ",H196," ",I196," ",J196," ",K196," ",L196," ",M196)</f>
        <v>GL 07 00 02 B0 0 00D</v>
      </c>
      <c r="O196" s="14">
        <v>13</v>
      </c>
      <c r="P196" s="11" t="s">
        <v>3</v>
      </c>
    </row>
    <row r="197" spans="1:16" s="12" customFormat="1" ht="15.75">
      <c r="A197" s="26" t="s">
        <v>347</v>
      </c>
      <c r="B197" s="14" t="s">
        <v>348</v>
      </c>
      <c r="C197" s="14">
        <v>28</v>
      </c>
      <c r="D197" s="15" t="s">
        <v>385</v>
      </c>
      <c r="E197" s="15" t="s">
        <v>426</v>
      </c>
      <c r="F197" s="16" t="s">
        <v>351</v>
      </c>
      <c r="G197" s="16" t="s">
        <v>330</v>
      </c>
      <c r="H197" s="16" t="str">
        <f>""&amp;MID(A197,4,2)</f>
        <v>07</v>
      </c>
      <c r="I197" s="17" t="s">
        <v>319</v>
      </c>
      <c r="J197" s="17" t="s">
        <v>420</v>
      </c>
      <c r="K197" s="18" t="s">
        <v>362</v>
      </c>
      <c r="L197" s="19">
        <v>0</v>
      </c>
      <c r="M197" s="16" t="str">
        <f>DEC2HEX(O197,3)</f>
        <v>00E</v>
      </c>
      <c r="N197" s="16" t="str">
        <f>_xlfn.CONCAT(G197," ",H197," ",I197," ",J197," ",K197," ",L197," ",M197)</f>
        <v>GL 07 00 02 B0 0 00E</v>
      </c>
      <c r="O197" s="14">
        <v>14</v>
      </c>
      <c r="P197" s="11" t="s">
        <v>3</v>
      </c>
    </row>
    <row r="198" spans="1:16" s="12" customFormat="1" ht="15.75">
      <c r="A198" s="26" t="s">
        <v>347</v>
      </c>
      <c r="B198" s="14" t="s">
        <v>348</v>
      </c>
      <c r="C198" s="14">
        <v>29</v>
      </c>
      <c r="D198" s="15" t="s">
        <v>387</v>
      </c>
      <c r="E198" s="15" t="s">
        <v>427</v>
      </c>
      <c r="F198" s="16" t="s">
        <v>351</v>
      </c>
      <c r="G198" s="16" t="s">
        <v>330</v>
      </c>
      <c r="H198" s="16" t="str">
        <f>""&amp;MID(A198,4,2)</f>
        <v>07</v>
      </c>
      <c r="I198" s="17" t="s">
        <v>319</v>
      </c>
      <c r="J198" s="17" t="s">
        <v>420</v>
      </c>
      <c r="K198" s="18" t="s">
        <v>362</v>
      </c>
      <c r="L198" s="19">
        <v>0</v>
      </c>
      <c r="M198" s="16" t="str">
        <f>DEC2HEX(O198,3)</f>
        <v>00F</v>
      </c>
      <c r="N198" s="16" t="str">
        <f>_xlfn.CONCAT(G198," ",H198," ",I198," ",J198," ",K198," ",L198," ",M198)</f>
        <v>GL 07 00 02 B0 0 00F</v>
      </c>
      <c r="O198" s="14">
        <v>15</v>
      </c>
      <c r="P198" s="11" t="s">
        <v>3</v>
      </c>
    </row>
    <row r="199" spans="1:16" s="12" customFormat="1" ht="15.75">
      <c r="A199" s="26" t="s">
        <v>347</v>
      </c>
      <c r="B199" s="14" t="s">
        <v>348</v>
      </c>
      <c r="C199" s="14">
        <v>30</v>
      </c>
      <c r="D199" s="15" t="s">
        <v>389</v>
      </c>
      <c r="E199" s="15" t="s">
        <v>428</v>
      </c>
      <c r="F199" s="16" t="s">
        <v>351</v>
      </c>
      <c r="G199" s="16" t="s">
        <v>330</v>
      </c>
      <c r="H199" s="16" t="str">
        <f>""&amp;MID(A199,4,2)</f>
        <v>07</v>
      </c>
      <c r="I199" s="17" t="s">
        <v>319</v>
      </c>
      <c r="J199" s="17" t="s">
        <v>420</v>
      </c>
      <c r="K199" s="18" t="s">
        <v>362</v>
      </c>
      <c r="L199" s="19">
        <v>0</v>
      </c>
      <c r="M199" s="16" t="str">
        <f>DEC2HEX(O199,3)</f>
        <v>010</v>
      </c>
      <c r="N199" s="16" t="str">
        <f>_xlfn.CONCAT(G199," ",H199," ",I199," ",J199," ",K199," ",L199," ",M199)</f>
        <v>GL 07 00 02 B0 0 010</v>
      </c>
      <c r="O199" s="14">
        <v>16</v>
      </c>
      <c r="P199" s="11" t="s">
        <v>3</v>
      </c>
    </row>
    <row r="200" spans="1:16" s="12" customFormat="1" ht="15.75">
      <c r="A200" s="26" t="s">
        <v>347</v>
      </c>
      <c r="B200" s="14" t="s">
        <v>348</v>
      </c>
      <c r="C200" s="14">
        <v>31</v>
      </c>
      <c r="D200" s="15" t="s">
        <v>391</v>
      </c>
      <c r="E200" s="15" t="s">
        <v>429</v>
      </c>
      <c r="F200" s="16" t="s">
        <v>351</v>
      </c>
      <c r="G200" s="16" t="s">
        <v>330</v>
      </c>
      <c r="H200" s="16" t="str">
        <f>""&amp;MID(A200,4,2)</f>
        <v>07</v>
      </c>
      <c r="I200" s="17" t="s">
        <v>319</v>
      </c>
      <c r="J200" s="17" t="s">
        <v>420</v>
      </c>
      <c r="K200" s="18" t="s">
        <v>362</v>
      </c>
      <c r="L200" s="19">
        <v>0</v>
      </c>
      <c r="M200" s="16" t="str">
        <f>DEC2HEX(O200,3)</f>
        <v>011</v>
      </c>
      <c r="N200" s="16" t="str">
        <f>_xlfn.CONCAT(G200," ",H200," ",I200," ",J200," ",K200," ",L200," ",M200)</f>
        <v>GL 07 00 02 B0 0 011</v>
      </c>
      <c r="O200" s="14">
        <v>17</v>
      </c>
      <c r="P200" s="11" t="s">
        <v>3</v>
      </c>
    </row>
    <row r="201" spans="1:16" s="12" customFormat="1" ht="15.75">
      <c r="A201" s="26" t="s">
        <v>347</v>
      </c>
      <c r="B201" s="14" t="s">
        <v>348</v>
      </c>
      <c r="C201" s="14">
        <v>32</v>
      </c>
      <c r="D201" s="15" t="s">
        <v>393</v>
      </c>
      <c r="E201" s="15" t="s">
        <v>430</v>
      </c>
      <c r="F201" s="16" t="s">
        <v>351</v>
      </c>
      <c r="G201" s="16" t="s">
        <v>330</v>
      </c>
      <c r="H201" s="16" t="str">
        <f>""&amp;MID(A201,4,2)</f>
        <v>07</v>
      </c>
      <c r="I201" s="17" t="s">
        <v>319</v>
      </c>
      <c r="J201" s="17" t="s">
        <v>420</v>
      </c>
      <c r="K201" s="18" t="s">
        <v>362</v>
      </c>
      <c r="L201" s="19">
        <v>0</v>
      </c>
      <c r="M201" s="16" t="str">
        <f>DEC2HEX(O201,3)</f>
        <v>012</v>
      </c>
      <c r="N201" s="16" t="str">
        <f>_xlfn.CONCAT(G201," ",H201," ",I201," ",J201," ",K201," ",L201," ",M201)</f>
        <v>GL 07 00 02 B0 0 012</v>
      </c>
      <c r="O201" s="14">
        <v>18</v>
      </c>
      <c r="P201" s="11" t="s">
        <v>3</v>
      </c>
    </row>
    <row r="202" spans="1:16" s="12" customFormat="1" ht="15.75">
      <c r="A202" s="26" t="s">
        <v>347</v>
      </c>
      <c r="B202" s="14" t="s">
        <v>348</v>
      </c>
      <c r="C202" s="14">
        <v>33</v>
      </c>
      <c r="D202" s="15" t="s">
        <v>395</v>
      </c>
      <c r="E202" s="15" t="s">
        <v>431</v>
      </c>
      <c r="F202" s="16" t="s">
        <v>351</v>
      </c>
      <c r="G202" s="16" t="s">
        <v>330</v>
      </c>
      <c r="H202" s="16" t="str">
        <f>""&amp;MID(A202,4,2)</f>
        <v>07</v>
      </c>
      <c r="I202" s="17" t="s">
        <v>319</v>
      </c>
      <c r="J202" s="17" t="s">
        <v>420</v>
      </c>
      <c r="K202" s="18" t="s">
        <v>362</v>
      </c>
      <c r="L202" s="19">
        <v>0</v>
      </c>
      <c r="M202" s="16" t="str">
        <f>DEC2HEX(O202,3)</f>
        <v>013</v>
      </c>
      <c r="N202" s="16" t="str">
        <f>_xlfn.CONCAT(G202," ",H202," ",I202," ",J202," ",K202," ",L202," ",M202)</f>
        <v>GL 07 00 02 B0 0 013</v>
      </c>
      <c r="O202" s="14">
        <v>19</v>
      </c>
      <c r="P202" s="11" t="s">
        <v>3</v>
      </c>
    </row>
    <row r="203" spans="1:16" s="12" customFormat="1" ht="15.75">
      <c r="A203" s="26" t="s">
        <v>347</v>
      </c>
      <c r="B203" s="14" t="s">
        <v>348</v>
      </c>
      <c r="C203" s="14">
        <v>34</v>
      </c>
      <c r="D203" s="15" t="s">
        <v>397</v>
      </c>
      <c r="E203" s="15" t="s">
        <v>432</v>
      </c>
      <c r="F203" s="16" t="s">
        <v>351</v>
      </c>
      <c r="G203" s="16" t="s">
        <v>330</v>
      </c>
      <c r="H203" s="16" t="str">
        <f>""&amp;MID(A203,4,2)</f>
        <v>07</v>
      </c>
      <c r="I203" s="17" t="s">
        <v>319</v>
      </c>
      <c r="J203" s="17" t="s">
        <v>420</v>
      </c>
      <c r="K203" s="18" t="s">
        <v>362</v>
      </c>
      <c r="L203" s="19">
        <v>0</v>
      </c>
      <c r="M203" s="16" t="str">
        <f>DEC2HEX(O203,3)</f>
        <v>014</v>
      </c>
      <c r="N203" s="16" t="str">
        <f>_xlfn.CONCAT(G203," ",H203," ",I203," ",J203," ",K203," ",L203," ",M203)</f>
        <v>GL 07 00 02 B0 0 014</v>
      </c>
      <c r="O203" s="14">
        <v>20</v>
      </c>
      <c r="P203" s="11" t="s">
        <v>3</v>
      </c>
    </row>
    <row r="204" spans="1:16" s="12" customFormat="1" ht="15.75">
      <c r="A204" s="26" t="s">
        <v>347</v>
      </c>
      <c r="B204" s="14" t="s">
        <v>348</v>
      </c>
      <c r="C204" s="14">
        <v>35</v>
      </c>
      <c r="D204" s="15" t="s">
        <v>399</v>
      </c>
      <c r="E204" s="15" t="s">
        <v>433</v>
      </c>
      <c r="F204" s="16" t="s">
        <v>351</v>
      </c>
      <c r="G204" s="16" t="s">
        <v>330</v>
      </c>
      <c r="H204" s="16" t="str">
        <f>""&amp;MID(A204,4,2)</f>
        <v>07</v>
      </c>
      <c r="I204" s="17" t="s">
        <v>319</v>
      </c>
      <c r="J204" s="17" t="s">
        <v>420</v>
      </c>
      <c r="K204" s="18" t="s">
        <v>362</v>
      </c>
      <c r="L204" s="19">
        <v>0</v>
      </c>
      <c r="M204" s="16" t="str">
        <f>DEC2HEX(O204,3)</f>
        <v>015</v>
      </c>
      <c r="N204" s="16" t="str">
        <f>_xlfn.CONCAT(G204," ",H204," ",I204," ",J204," ",K204," ",L204," ",M204)</f>
        <v>GL 07 00 02 B0 0 015</v>
      </c>
      <c r="O204" s="14">
        <v>21</v>
      </c>
      <c r="P204" s="11" t="s">
        <v>3</v>
      </c>
    </row>
    <row r="205" spans="1:16" s="12" customFormat="1" ht="15.75">
      <c r="A205" s="26" t="s">
        <v>347</v>
      </c>
      <c r="B205" s="14" t="s">
        <v>348</v>
      </c>
      <c r="C205" s="14">
        <v>36</v>
      </c>
      <c r="D205" s="15" t="s">
        <v>401</v>
      </c>
      <c r="E205" s="15" t="s">
        <v>434</v>
      </c>
      <c r="F205" s="16" t="s">
        <v>351</v>
      </c>
      <c r="G205" s="16" t="s">
        <v>330</v>
      </c>
      <c r="H205" s="16" t="str">
        <f>""&amp;MID(A205,4,2)</f>
        <v>07</v>
      </c>
      <c r="I205" s="17" t="s">
        <v>319</v>
      </c>
      <c r="J205" s="17" t="s">
        <v>420</v>
      </c>
      <c r="K205" s="18" t="s">
        <v>362</v>
      </c>
      <c r="L205" s="19">
        <v>0</v>
      </c>
      <c r="M205" s="16" t="str">
        <f>DEC2HEX(O205,3)</f>
        <v>016</v>
      </c>
      <c r="N205" s="16" t="str">
        <f>_xlfn.CONCAT(G205," ",H205," ",I205," ",J205," ",K205," ",L205," ",M205)</f>
        <v>GL 07 00 02 B0 0 016</v>
      </c>
      <c r="O205" s="14">
        <v>22</v>
      </c>
      <c r="P205" s="11" t="s">
        <v>3</v>
      </c>
    </row>
    <row r="206" spans="1:16" s="12" customFormat="1" ht="15.75">
      <c r="A206" s="26" t="s">
        <v>347</v>
      </c>
      <c r="B206" s="14" t="s">
        <v>348</v>
      </c>
      <c r="C206" s="14">
        <v>37</v>
      </c>
      <c r="D206" s="15" t="s">
        <v>403</v>
      </c>
      <c r="E206" s="15" t="s">
        <v>435</v>
      </c>
      <c r="F206" s="16" t="s">
        <v>351</v>
      </c>
      <c r="G206" s="16" t="s">
        <v>330</v>
      </c>
      <c r="H206" s="16" t="str">
        <f>""&amp;MID(A206,4,2)</f>
        <v>07</v>
      </c>
      <c r="I206" s="17" t="s">
        <v>319</v>
      </c>
      <c r="J206" s="17" t="s">
        <v>420</v>
      </c>
      <c r="K206" s="18" t="s">
        <v>362</v>
      </c>
      <c r="L206" s="19">
        <v>0</v>
      </c>
      <c r="M206" s="16" t="str">
        <f>DEC2HEX(O206,3)</f>
        <v>017</v>
      </c>
      <c r="N206" s="16" t="str">
        <f>_xlfn.CONCAT(G206," ",H206," ",I206," ",J206," ",K206," ",L206," ",M206)</f>
        <v>GL 07 00 02 B0 0 017</v>
      </c>
      <c r="O206" s="14">
        <v>23</v>
      </c>
      <c r="P206" s="11" t="s">
        <v>3</v>
      </c>
    </row>
    <row r="207" spans="1:16" s="12" customFormat="1" ht="15.75">
      <c r="A207" s="26" t="s">
        <v>347</v>
      </c>
      <c r="B207" s="14" t="s">
        <v>405</v>
      </c>
      <c r="C207" s="14">
        <v>38</v>
      </c>
      <c r="D207" s="15" t="s">
        <v>406</v>
      </c>
      <c r="E207" s="15" t="s">
        <v>436</v>
      </c>
      <c r="F207" s="16" t="s">
        <v>351</v>
      </c>
      <c r="G207" s="16" t="s">
        <v>330</v>
      </c>
      <c r="H207" s="16" t="str">
        <f>""&amp;MID(A207,4,2)</f>
        <v>07</v>
      </c>
      <c r="I207" s="17" t="s">
        <v>319</v>
      </c>
      <c r="J207" s="17" t="s">
        <v>420</v>
      </c>
      <c r="K207" s="18" t="s">
        <v>362</v>
      </c>
      <c r="L207" s="19">
        <v>0</v>
      </c>
      <c r="M207" s="16" t="str">
        <f>DEC2HEX(O207,3)</f>
        <v>018</v>
      </c>
      <c r="N207" s="16" t="str">
        <f>_xlfn.CONCAT(G207," ",H207," ",I207," ",J207," ",K207," ",L207," ",M207)</f>
        <v>GL 07 00 02 B0 0 018</v>
      </c>
      <c r="O207" s="14">
        <v>24</v>
      </c>
      <c r="P207" s="11" t="s">
        <v>3</v>
      </c>
    </row>
    <row r="208" spans="1:16" s="12" customFormat="1" ht="15.75">
      <c r="A208" s="26" t="s">
        <v>347</v>
      </c>
      <c r="B208" s="14" t="s">
        <v>405</v>
      </c>
      <c r="C208" s="14">
        <v>39</v>
      </c>
      <c r="D208" s="15" t="s">
        <v>408</v>
      </c>
      <c r="E208" s="15" t="s">
        <v>437</v>
      </c>
      <c r="F208" s="16" t="s">
        <v>351</v>
      </c>
      <c r="G208" s="16" t="s">
        <v>330</v>
      </c>
      <c r="H208" s="16" t="str">
        <f>""&amp;MID(A208,4,2)</f>
        <v>07</v>
      </c>
      <c r="I208" s="17" t="s">
        <v>319</v>
      </c>
      <c r="J208" s="17" t="s">
        <v>420</v>
      </c>
      <c r="K208" s="18" t="s">
        <v>362</v>
      </c>
      <c r="L208" s="19">
        <v>0</v>
      </c>
      <c r="M208" s="16" t="str">
        <f>DEC2HEX(O208,3)</f>
        <v>019</v>
      </c>
      <c r="N208" s="16" t="str">
        <f>_xlfn.CONCAT(G208," ",H208," ",I208," ",J208," ",K208," ",L208," ",M208)</f>
        <v>GL 07 00 02 B0 0 019</v>
      </c>
      <c r="O208" s="14">
        <v>25</v>
      </c>
      <c r="P208" s="11" t="s">
        <v>3</v>
      </c>
    </row>
    <row r="209" spans="1:16" s="12" customFormat="1" ht="15.75">
      <c r="A209" s="26" t="s">
        <v>347</v>
      </c>
      <c r="B209" s="14" t="s">
        <v>405</v>
      </c>
      <c r="C209" s="14">
        <v>40</v>
      </c>
      <c r="D209" s="15" t="s">
        <v>410</v>
      </c>
      <c r="E209" s="15" t="s">
        <v>438</v>
      </c>
      <c r="F209" s="16" t="s">
        <v>351</v>
      </c>
      <c r="G209" s="16" t="s">
        <v>330</v>
      </c>
      <c r="H209" s="16" t="str">
        <f>""&amp;MID(A209,4,2)</f>
        <v>07</v>
      </c>
      <c r="I209" s="17" t="s">
        <v>319</v>
      </c>
      <c r="J209" s="17" t="s">
        <v>420</v>
      </c>
      <c r="K209" s="18" t="s">
        <v>362</v>
      </c>
      <c r="L209" s="19">
        <v>0</v>
      </c>
      <c r="M209" s="16" t="str">
        <f>DEC2HEX(O209,3)</f>
        <v>01A</v>
      </c>
      <c r="N209" s="16" t="str">
        <f>_xlfn.CONCAT(G209," ",H209," ",I209," ",J209," ",K209," ",L209," ",M209)</f>
        <v>GL 07 00 02 B0 0 01A</v>
      </c>
      <c r="O209" s="14">
        <v>26</v>
      </c>
      <c r="P209" s="11" t="s">
        <v>3</v>
      </c>
    </row>
    <row r="210" spans="1:16" s="12" customFormat="1" ht="15.75">
      <c r="A210" s="26" t="s">
        <v>347</v>
      </c>
      <c r="B210" s="14" t="s">
        <v>405</v>
      </c>
      <c r="C210" s="14">
        <v>41</v>
      </c>
      <c r="D210" s="15" t="s">
        <v>412</v>
      </c>
      <c r="E210" s="15" t="s">
        <v>439</v>
      </c>
      <c r="F210" s="16" t="s">
        <v>351</v>
      </c>
      <c r="G210" s="16" t="s">
        <v>330</v>
      </c>
      <c r="H210" s="16" t="str">
        <f>""&amp;MID(A210,4,2)</f>
        <v>07</v>
      </c>
      <c r="I210" s="17" t="s">
        <v>319</v>
      </c>
      <c r="J210" s="17" t="s">
        <v>420</v>
      </c>
      <c r="K210" s="18" t="s">
        <v>362</v>
      </c>
      <c r="L210" s="19" t="s">
        <v>368</v>
      </c>
      <c r="M210" s="16" t="str">
        <f>DEC2HEX(O210,3)</f>
        <v>01B</v>
      </c>
      <c r="N210" s="16" t="str">
        <f>_xlfn.CONCAT(G210," ",H210," ",I210," ",J210," ",K210," ",L210," ",M210)</f>
        <v>GL 07 00 02 B0 A 01B</v>
      </c>
      <c r="O210" s="14">
        <v>27</v>
      </c>
      <c r="P210" s="11" t="s">
        <v>3</v>
      </c>
    </row>
    <row r="211" spans="1:16" s="12" customFormat="1" ht="15.75">
      <c r="A211" s="26" t="s">
        <v>347</v>
      </c>
      <c r="B211" s="14" t="s">
        <v>405</v>
      </c>
      <c r="C211" s="14">
        <v>42</v>
      </c>
      <c r="D211" s="15" t="s">
        <v>414</v>
      </c>
      <c r="E211" s="15" t="s">
        <v>440</v>
      </c>
      <c r="F211" s="16" t="s">
        <v>351</v>
      </c>
      <c r="G211" s="16" t="s">
        <v>330</v>
      </c>
      <c r="H211" s="16" t="str">
        <f>""&amp;MID(A211,4,2)</f>
        <v>07</v>
      </c>
      <c r="I211" s="17" t="s">
        <v>319</v>
      </c>
      <c r="J211" s="17" t="s">
        <v>420</v>
      </c>
      <c r="K211" s="18" t="s">
        <v>362</v>
      </c>
      <c r="L211" s="19" t="s">
        <v>368</v>
      </c>
      <c r="M211" s="16" t="str">
        <f>DEC2HEX(O211,3)</f>
        <v>01C</v>
      </c>
      <c r="N211" s="16" t="str">
        <f>_xlfn.CONCAT(G211," ",H211," ",I211," ",J211," ",K211," ",L211," ",M211)</f>
        <v>GL 07 00 02 B0 A 01C</v>
      </c>
      <c r="O211" s="14">
        <v>28</v>
      </c>
      <c r="P211" s="11" t="s">
        <v>3</v>
      </c>
    </row>
    <row r="212" spans="1:16" s="12" customFormat="1" ht="15.75">
      <c r="A212" s="26" t="s">
        <v>347</v>
      </c>
      <c r="B212" s="14" t="s">
        <v>348</v>
      </c>
      <c r="C212" s="14">
        <v>43</v>
      </c>
      <c r="D212" s="15" t="s">
        <v>416</v>
      </c>
      <c r="E212" s="15" t="s">
        <v>441</v>
      </c>
      <c r="F212" s="16" t="s">
        <v>351</v>
      </c>
      <c r="G212" s="16" t="s">
        <v>330</v>
      </c>
      <c r="H212" s="16" t="str">
        <f>""&amp;MID(A212,4,2)</f>
        <v>07</v>
      </c>
      <c r="I212" s="17" t="s">
        <v>319</v>
      </c>
      <c r="J212" s="17" t="s">
        <v>420</v>
      </c>
      <c r="K212" s="18" t="s">
        <v>362</v>
      </c>
      <c r="L212" s="19">
        <v>0</v>
      </c>
      <c r="M212" s="16" t="str">
        <f>DEC2HEX(O212,3)</f>
        <v>01D</v>
      </c>
      <c r="N212" s="16" t="str">
        <f>_xlfn.CONCAT(G212," ",H212," ",I212," ",J212," ",K212," ",L212," ",M212)</f>
        <v>GL 07 00 02 B0 0 01D</v>
      </c>
      <c r="O212" s="14">
        <v>29</v>
      </c>
      <c r="P212" s="11" t="s">
        <v>3</v>
      </c>
    </row>
    <row r="213" spans="1:16" s="12" customFormat="1" ht="15.75">
      <c r="A213" s="26" t="s">
        <v>347</v>
      </c>
      <c r="B213" s="14" t="s">
        <v>348</v>
      </c>
      <c r="C213" s="14">
        <v>44</v>
      </c>
      <c r="D213" s="15" t="s">
        <v>418</v>
      </c>
      <c r="E213" s="15" t="s">
        <v>442</v>
      </c>
      <c r="F213" s="16" t="s">
        <v>351</v>
      </c>
      <c r="G213" s="16" t="s">
        <v>330</v>
      </c>
      <c r="H213" s="16" t="str">
        <f>""&amp;MID(A213,4,2)</f>
        <v>07</v>
      </c>
      <c r="I213" s="17" t="s">
        <v>319</v>
      </c>
      <c r="J213" s="17" t="s">
        <v>420</v>
      </c>
      <c r="K213" s="18" t="s">
        <v>362</v>
      </c>
      <c r="L213" s="19">
        <v>0</v>
      </c>
      <c r="M213" s="16" t="str">
        <f>DEC2HEX(O213,3)</f>
        <v>01E</v>
      </c>
      <c r="N213" s="16" t="str">
        <f>_xlfn.CONCAT(G213," ",H213," ",I213," ",J213," ",K213," ",L213," ",M213)</f>
        <v>GL 07 00 02 B0 0 01E</v>
      </c>
      <c r="O213" s="14">
        <v>30</v>
      </c>
      <c r="P213" s="11" t="s">
        <v>3</v>
      </c>
    </row>
    <row r="214" spans="1:16" s="12" customFormat="1" ht="15.75">
      <c r="A214" s="26" t="s">
        <v>347</v>
      </c>
      <c r="B214" s="14" t="s">
        <v>348</v>
      </c>
      <c r="C214" s="14">
        <v>45</v>
      </c>
      <c r="D214" s="15" t="s">
        <v>375</v>
      </c>
      <c r="E214" s="15" t="s">
        <v>444</v>
      </c>
      <c r="F214" s="16" t="s">
        <v>351</v>
      </c>
      <c r="G214" s="16" t="s">
        <v>330</v>
      </c>
      <c r="H214" s="16" t="str">
        <f>""&amp;MID(A214,4,2)</f>
        <v>07</v>
      </c>
      <c r="I214" s="17" t="s">
        <v>319</v>
      </c>
      <c r="J214" s="17" t="s">
        <v>443</v>
      </c>
      <c r="K214" s="18" t="s">
        <v>362</v>
      </c>
      <c r="L214" s="19">
        <v>0</v>
      </c>
      <c r="M214" s="16" t="str">
        <f>DEC2HEX(O214,3)</f>
        <v>009</v>
      </c>
      <c r="N214" s="16" t="str">
        <f>_xlfn.CONCAT(G214," ",H214," ",I214," ",J214," ",K214," ",L214," ",M214)</f>
        <v>GL 07 00 03 B0 0 009</v>
      </c>
      <c r="O214" s="14">
        <v>9</v>
      </c>
      <c r="P214" s="11" t="s">
        <v>3</v>
      </c>
    </row>
    <row r="215" spans="1:16" s="12" customFormat="1" ht="15.75">
      <c r="A215" s="26" t="s">
        <v>347</v>
      </c>
      <c r="B215" s="14" t="s">
        <v>348</v>
      </c>
      <c r="C215" s="14">
        <v>46</v>
      </c>
      <c r="D215" s="15" t="s">
        <v>377</v>
      </c>
      <c r="E215" s="15" t="s">
        <v>445</v>
      </c>
      <c r="F215" s="16" t="s">
        <v>351</v>
      </c>
      <c r="G215" s="16" t="s">
        <v>330</v>
      </c>
      <c r="H215" s="16" t="str">
        <f>""&amp;MID(A215,4,2)</f>
        <v>07</v>
      </c>
      <c r="I215" s="17" t="s">
        <v>319</v>
      </c>
      <c r="J215" s="17" t="s">
        <v>443</v>
      </c>
      <c r="K215" s="18" t="s">
        <v>362</v>
      </c>
      <c r="L215" s="19">
        <v>0</v>
      </c>
      <c r="M215" s="16" t="str">
        <f>DEC2HEX(O215,3)</f>
        <v>00A</v>
      </c>
      <c r="N215" s="16" t="str">
        <f>_xlfn.CONCAT(G215," ",H215," ",I215," ",J215," ",K215," ",L215," ",M215)</f>
        <v>GL 07 00 03 B0 0 00A</v>
      </c>
      <c r="O215" s="14">
        <v>10</v>
      </c>
      <c r="P215" s="11" t="s">
        <v>3</v>
      </c>
    </row>
    <row r="216" spans="1:16" s="12" customFormat="1" ht="15.75">
      <c r="A216" s="26" t="s">
        <v>347</v>
      </c>
      <c r="B216" s="14" t="s">
        <v>348</v>
      </c>
      <c r="C216" s="14">
        <v>47</v>
      </c>
      <c r="D216" s="15" t="s">
        <v>379</v>
      </c>
      <c r="E216" s="15" t="s">
        <v>446</v>
      </c>
      <c r="F216" s="16" t="s">
        <v>351</v>
      </c>
      <c r="G216" s="16" t="s">
        <v>330</v>
      </c>
      <c r="H216" s="16" t="str">
        <f>""&amp;MID(A216,4,2)</f>
        <v>07</v>
      </c>
      <c r="I216" s="17" t="s">
        <v>319</v>
      </c>
      <c r="J216" s="17" t="s">
        <v>443</v>
      </c>
      <c r="K216" s="18" t="s">
        <v>362</v>
      </c>
      <c r="L216" s="19">
        <v>0</v>
      </c>
      <c r="M216" s="16" t="str">
        <f>DEC2HEX(O216,3)</f>
        <v>00B</v>
      </c>
      <c r="N216" s="16" t="str">
        <f>_xlfn.CONCAT(G216," ",H216," ",I216," ",J216," ",K216," ",L216," ",M216)</f>
        <v>GL 07 00 03 B0 0 00B</v>
      </c>
      <c r="O216" s="14">
        <v>11</v>
      </c>
      <c r="P216" s="11" t="s">
        <v>3</v>
      </c>
    </row>
    <row r="217" spans="1:16" s="12" customFormat="1" ht="15.75">
      <c r="A217" s="26" t="s">
        <v>347</v>
      </c>
      <c r="B217" s="14" t="s">
        <v>348</v>
      </c>
      <c r="C217" s="14">
        <v>48</v>
      </c>
      <c r="D217" s="15" t="s">
        <v>381</v>
      </c>
      <c r="E217" s="15" t="s">
        <v>447</v>
      </c>
      <c r="F217" s="16" t="s">
        <v>351</v>
      </c>
      <c r="G217" s="16" t="s">
        <v>330</v>
      </c>
      <c r="H217" s="16" t="str">
        <f>""&amp;MID(A217,4,2)</f>
        <v>07</v>
      </c>
      <c r="I217" s="17" t="s">
        <v>319</v>
      </c>
      <c r="J217" s="17" t="s">
        <v>443</v>
      </c>
      <c r="K217" s="18" t="s">
        <v>362</v>
      </c>
      <c r="L217" s="19">
        <v>0</v>
      </c>
      <c r="M217" s="16" t="str">
        <f>DEC2HEX(O217,3)</f>
        <v>00C</v>
      </c>
      <c r="N217" s="16" t="str">
        <f>_xlfn.CONCAT(G217," ",H217," ",I217," ",J217," ",K217," ",L217," ",M217)</f>
        <v>GL 07 00 03 B0 0 00C</v>
      </c>
      <c r="O217" s="14">
        <v>12</v>
      </c>
      <c r="P217" s="11" t="s">
        <v>3</v>
      </c>
    </row>
    <row r="218" spans="1:16" s="12" customFormat="1" ht="15.75">
      <c r="A218" s="26" t="s">
        <v>347</v>
      </c>
      <c r="B218" s="14" t="s">
        <v>348</v>
      </c>
      <c r="C218" s="14">
        <v>49</v>
      </c>
      <c r="D218" s="15" t="s">
        <v>383</v>
      </c>
      <c r="E218" s="15" t="s">
        <v>448</v>
      </c>
      <c r="F218" s="16" t="s">
        <v>351</v>
      </c>
      <c r="G218" s="16" t="s">
        <v>330</v>
      </c>
      <c r="H218" s="16" t="str">
        <f>""&amp;MID(A218,4,2)</f>
        <v>07</v>
      </c>
      <c r="I218" s="17" t="s">
        <v>319</v>
      </c>
      <c r="J218" s="17" t="s">
        <v>443</v>
      </c>
      <c r="K218" s="18" t="s">
        <v>362</v>
      </c>
      <c r="L218" s="19">
        <v>0</v>
      </c>
      <c r="M218" s="16" t="str">
        <f>DEC2HEX(O218,3)</f>
        <v>00D</v>
      </c>
      <c r="N218" s="16" t="str">
        <f>_xlfn.CONCAT(G218," ",H218," ",I218," ",J218," ",K218," ",L218," ",M218)</f>
        <v>GL 07 00 03 B0 0 00D</v>
      </c>
      <c r="O218" s="14">
        <v>13</v>
      </c>
      <c r="P218" s="11" t="s">
        <v>3</v>
      </c>
    </row>
    <row r="219" spans="1:16" s="12" customFormat="1" ht="15.75">
      <c r="A219" s="26" t="s">
        <v>347</v>
      </c>
      <c r="B219" s="14" t="s">
        <v>348</v>
      </c>
      <c r="C219" s="14">
        <v>50</v>
      </c>
      <c r="D219" s="15" t="s">
        <v>385</v>
      </c>
      <c r="E219" s="15" t="s">
        <v>449</v>
      </c>
      <c r="F219" s="16" t="s">
        <v>351</v>
      </c>
      <c r="G219" s="16" t="s">
        <v>330</v>
      </c>
      <c r="H219" s="16" t="str">
        <f>""&amp;MID(A219,4,2)</f>
        <v>07</v>
      </c>
      <c r="I219" s="17" t="s">
        <v>319</v>
      </c>
      <c r="J219" s="17" t="s">
        <v>443</v>
      </c>
      <c r="K219" s="18" t="s">
        <v>362</v>
      </c>
      <c r="L219" s="19">
        <v>0</v>
      </c>
      <c r="M219" s="16" t="str">
        <f>DEC2HEX(O219,3)</f>
        <v>00E</v>
      </c>
      <c r="N219" s="16" t="str">
        <f>_xlfn.CONCAT(G219," ",H219," ",I219," ",J219," ",K219," ",L219," ",M219)</f>
        <v>GL 07 00 03 B0 0 00E</v>
      </c>
      <c r="O219" s="14">
        <v>14</v>
      </c>
      <c r="P219" s="11" t="s">
        <v>3</v>
      </c>
    </row>
    <row r="220" spans="1:16" s="12" customFormat="1" ht="15.75">
      <c r="A220" s="26" t="s">
        <v>347</v>
      </c>
      <c r="B220" s="14" t="s">
        <v>348</v>
      </c>
      <c r="C220" s="14">
        <v>51</v>
      </c>
      <c r="D220" s="15" t="s">
        <v>387</v>
      </c>
      <c r="E220" s="15" t="s">
        <v>450</v>
      </c>
      <c r="F220" s="16" t="s">
        <v>351</v>
      </c>
      <c r="G220" s="16" t="s">
        <v>330</v>
      </c>
      <c r="H220" s="16" t="str">
        <f>""&amp;MID(A220,4,2)</f>
        <v>07</v>
      </c>
      <c r="I220" s="17" t="s">
        <v>319</v>
      </c>
      <c r="J220" s="17" t="s">
        <v>443</v>
      </c>
      <c r="K220" s="18" t="s">
        <v>362</v>
      </c>
      <c r="L220" s="19">
        <v>0</v>
      </c>
      <c r="M220" s="16" t="str">
        <f>DEC2HEX(O220,3)</f>
        <v>00F</v>
      </c>
      <c r="N220" s="16" t="str">
        <f>_xlfn.CONCAT(G220," ",H220," ",I220," ",J220," ",K220," ",L220," ",M220)</f>
        <v>GL 07 00 03 B0 0 00F</v>
      </c>
      <c r="O220" s="14">
        <v>15</v>
      </c>
      <c r="P220" s="11" t="s">
        <v>3</v>
      </c>
    </row>
    <row r="221" spans="1:16" s="12" customFormat="1" ht="15.75">
      <c r="A221" s="26" t="s">
        <v>347</v>
      </c>
      <c r="B221" s="14" t="s">
        <v>348</v>
      </c>
      <c r="C221" s="14">
        <v>52</v>
      </c>
      <c r="D221" s="15" t="s">
        <v>389</v>
      </c>
      <c r="E221" s="15" t="s">
        <v>451</v>
      </c>
      <c r="F221" s="16" t="s">
        <v>351</v>
      </c>
      <c r="G221" s="16" t="s">
        <v>330</v>
      </c>
      <c r="H221" s="16" t="str">
        <f>""&amp;MID(A221,4,2)</f>
        <v>07</v>
      </c>
      <c r="I221" s="17" t="s">
        <v>319</v>
      </c>
      <c r="J221" s="17" t="s">
        <v>443</v>
      </c>
      <c r="K221" s="18" t="s">
        <v>362</v>
      </c>
      <c r="L221" s="19">
        <v>0</v>
      </c>
      <c r="M221" s="16" t="str">
        <f>DEC2HEX(O221,3)</f>
        <v>010</v>
      </c>
      <c r="N221" s="16" t="str">
        <f>_xlfn.CONCAT(G221," ",H221," ",I221," ",J221," ",K221," ",L221," ",M221)</f>
        <v>GL 07 00 03 B0 0 010</v>
      </c>
      <c r="O221" s="14">
        <v>16</v>
      </c>
      <c r="P221" s="11" t="s">
        <v>3</v>
      </c>
    </row>
    <row r="222" spans="1:16" s="12" customFormat="1" ht="15.75">
      <c r="A222" s="26" t="s">
        <v>347</v>
      </c>
      <c r="B222" s="14" t="s">
        <v>348</v>
      </c>
      <c r="C222" s="14">
        <v>53</v>
      </c>
      <c r="D222" s="15" t="s">
        <v>391</v>
      </c>
      <c r="E222" s="15" t="s">
        <v>452</v>
      </c>
      <c r="F222" s="16" t="s">
        <v>351</v>
      </c>
      <c r="G222" s="16" t="s">
        <v>330</v>
      </c>
      <c r="H222" s="16" t="str">
        <f>""&amp;MID(A222,4,2)</f>
        <v>07</v>
      </c>
      <c r="I222" s="17" t="s">
        <v>319</v>
      </c>
      <c r="J222" s="17" t="s">
        <v>443</v>
      </c>
      <c r="K222" s="18" t="s">
        <v>362</v>
      </c>
      <c r="L222" s="19">
        <v>0</v>
      </c>
      <c r="M222" s="16" t="str">
        <f>DEC2HEX(O222,3)</f>
        <v>011</v>
      </c>
      <c r="N222" s="16" t="str">
        <f>_xlfn.CONCAT(G222," ",H222," ",I222," ",J222," ",K222," ",L222," ",M222)</f>
        <v>GL 07 00 03 B0 0 011</v>
      </c>
      <c r="O222" s="14">
        <v>17</v>
      </c>
      <c r="P222" s="11" t="s">
        <v>3</v>
      </c>
    </row>
    <row r="223" spans="1:16" s="12" customFormat="1" ht="15.75">
      <c r="A223" s="26" t="s">
        <v>347</v>
      </c>
      <c r="B223" s="14" t="s">
        <v>348</v>
      </c>
      <c r="C223" s="14">
        <v>54</v>
      </c>
      <c r="D223" s="15" t="s">
        <v>393</v>
      </c>
      <c r="E223" s="15" t="s">
        <v>453</v>
      </c>
      <c r="F223" s="16" t="s">
        <v>351</v>
      </c>
      <c r="G223" s="16" t="s">
        <v>330</v>
      </c>
      <c r="H223" s="16" t="str">
        <f>""&amp;MID(A223,4,2)</f>
        <v>07</v>
      </c>
      <c r="I223" s="17" t="s">
        <v>319</v>
      </c>
      <c r="J223" s="17" t="s">
        <v>443</v>
      </c>
      <c r="K223" s="18" t="s">
        <v>362</v>
      </c>
      <c r="L223" s="19">
        <v>0</v>
      </c>
      <c r="M223" s="16" t="str">
        <f>DEC2HEX(O223,3)</f>
        <v>012</v>
      </c>
      <c r="N223" s="16" t="str">
        <f>_xlfn.CONCAT(G223," ",H223," ",I223," ",J223," ",K223," ",L223," ",M223)</f>
        <v>GL 07 00 03 B0 0 012</v>
      </c>
      <c r="O223" s="14">
        <v>18</v>
      </c>
      <c r="P223" s="11" t="s">
        <v>3</v>
      </c>
    </row>
    <row r="224" spans="1:16" s="12" customFormat="1" ht="15.75">
      <c r="A224" s="26" t="s">
        <v>347</v>
      </c>
      <c r="B224" s="14" t="s">
        <v>348</v>
      </c>
      <c r="C224" s="14">
        <v>55</v>
      </c>
      <c r="D224" s="15" t="s">
        <v>395</v>
      </c>
      <c r="E224" s="15" t="s">
        <v>454</v>
      </c>
      <c r="F224" s="16" t="s">
        <v>351</v>
      </c>
      <c r="G224" s="16" t="s">
        <v>330</v>
      </c>
      <c r="H224" s="16" t="str">
        <f>""&amp;MID(A224,4,2)</f>
        <v>07</v>
      </c>
      <c r="I224" s="17" t="s">
        <v>319</v>
      </c>
      <c r="J224" s="17" t="s">
        <v>443</v>
      </c>
      <c r="K224" s="18" t="s">
        <v>362</v>
      </c>
      <c r="L224" s="19">
        <v>0</v>
      </c>
      <c r="M224" s="16" t="str">
        <f>DEC2HEX(O224,3)</f>
        <v>013</v>
      </c>
      <c r="N224" s="16" t="str">
        <f>_xlfn.CONCAT(G224," ",H224," ",I224," ",J224," ",K224," ",L224," ",M224)</f>
        <v>GL 07 00 03 B0 0 013</v>
      </c>
      <c r="O224" s="14">
        <v>19</v>
      </c>
      <c r="P224" s="11" t="s">
        <v>3</v>
      </c>
    </row>
    <row r="225" spans="1:16" s="12" customFormat="1" ht="15.75">
      <c r="A225" s="26" t="s">
        <v>347</v>
      </c>
      <c r="B225" s="14" t="s">
        <v>348</v>
      </c>
      <c r="C225" s="14">
        <v>56</v>
      </c>
      <c r="D225" s="15" t="s">
        <v>397</v>
      </c>
      <c r="E225" s="15" t="s">
        <v>455</v>
      </c>
      <c r="F225" s="16" t="s">
        <v>351</v>
      </c>
      <c r="G225" s="16" t="s">
        <v>330</v>
      </c>
      <c r="H225" s="16" t="str">
        <f>""&amp;MID(A225,4,2)</f>
        <v>07</v>
      </c>
      <c r="I225" s="17" t="s">
        <v>319</v>
      </c>
      <c r="J225" s="17" t="s">
        <v>443</v>
      </c>
      <c r="K225" s="18" t="s">
        <v>362</v>
      </c>
      <c r="L225" s="19">
        <v>0</v>
      </c>
      <c r="M225" s="16" t="str">
        <f>DEC2HEX(O225,3)</f>
        <v>014</v>
      </c>
      <c r="N225" s="16" t="str">
        <f>_xlfn.CONCAT(G225," ",H225," ",I225," ",J225," ",K225," ",L225," ",M225)</f>
        <v>GL 07 00 03 B0 0 014</v>
      </c>
      <c r="O225" s="14">
        <v>20</v>
      </c>
      <c r="P225" s="11" t="s">
        <v>3</v>
      </c>
    </row>
    <row r="226" spans="1:16" s="12" customFormat="1" ht="15.75">
      <c r="A226" s="26" t="s">
        <v>347</v>
      </c>
      <c r="B226" s="14" t="s">
        <v>348</v>
      </c>
      <c r="C226" s="14">
        <v>57</v>
      </c>
      <c r="D226" s="15" t="s">
        <v>399</v>
      </c>
      <c r="E226" s="15" t="s">
        <v>456</v>
      </c>
      <c r="F226" s="16" t="s">
        <v>351</v>
      </c>
      <c r="G226" s="16" t="s">
        <v>330</v>
      </c>
      <c r="H226" s="16" t="str">
        <f>""&amp;MID(A226,4,2)</f>
        <v>07</v>
      </c>
      <c r="I226" s="17" t="s">
        <v>319</v>
      </c>
      <c r="J226" s="17" t="s">
        <v>443</v>
      </c>
      <c r="K226" s="18" t="s">
        <v>362</v>
      </c>
      <c r="L226" s="19">
        <v>0</v>
      </c>
      <c r="M226" s="16" t="str">
        <f>DEC2HEX(O226,3)</f>
        <v>015</v>
      </c>
      <c r="N226" s="16" t="str">
        <f>_xlfn.CONCAT(G226," ",H226," ",I226," ",J226," ",K226," ",L226," ",M226)</f>
        <v>GL 07 00 03 B0 0 015</v>
      </c>
      <c r="O226" s="14">
        <v>21</v>
      </c>
      <c r="P226" s="11" t="s">
        <v>3</v>
      </c>
    </row>
    <row r="227" spans="1:16" s="12" customFormat="1" ht="15.75">
      <c r="A227" s="26" t="s">
        <v>347</v>
      </c>
      <c r="B227" s="14" t="s">
        <v>348</v>
      </c>
      <c r="C227" s="14">
        <v>58</v>
      </c>
      <c r="D227" s="15" t="s">
        <v>401</v>
      </c>
      <c r="E227" s="15" t="s">
        <v>457</v>
      </c>
      <c r="F227" s="16" t="s">
        <v>351</v>
      </c>
      <c r="G227" s="16" t="s">
        <v>330</v>
      </c>
      <c r="H227" s="16" t="str">
        <f>""&amp;MID(A227,4,2)</f>
        <v>07</v>
      </c>
      <c r="I227" s="17" t="s">
        <v>319</v>
      </c>
      <c r="J227" s="17" t="s">
        <v>443</v>
      </c>
      <c r="K227" s="18" t="s">
        <v>362</v>
      </c>
      <c r="L227" s="19">
        <v>0</v>
      </c>
      <c r="M227" s="16" t="str">
        <f>DEC2HEX(O227,3)</f>
        <v>016</v>
      </c>
      <c r="N227" s="16" t="str">
        <f>_xlfn.CONCAT(G227," ",H227," ",I227," ",J227," ",K227," ",L227," ",M227)</f>
        <v>GL 07 00 03 B0 0 016</v>
      </c>
      <c r="O227" s="14">
        <v>22</v>
      </c>
      <c r="P227" s="11" t="s">
        <v>3</v>
      </c>
    </row>
    <row r="228" spans="1:16" s="12" customFormat="1" ht="15.75">
      <c r="A228" s="26" t="s">
        <v>347</v>
      </c>
      <c r="B228" s="14" t="s">
        <v>348</v>
      </c>
      <c r="C228" s="14">
        <v>59</v>
      </c>
      <c r="D228" s="15" t="s">
        <v>403</v>
      </c>
      <c r="E228" s="15" t="s">
        <v>458</v>
      </c>
      <c r="F228" s="16" t="s">
        <v>351</v>
      </c>
      <c r="G228" s="16" t="s">
        <v>330</v>
      </c>
      <c r="H228" s="16" t="str">
        <f>""&amp;MID(A228,4,2)</f>
        <v>07</v>
      </c>
      <c r="I228" s="17" t="s">
        <v>319</v>
      </c>
      <c r="J228" s="17" t="s">
        <v>443</v>
      </c>
      <c r="K228" s="18" t="s">
        <v>362</v>
      </c>
      <c r="L228" s="19">
        <v>0</v>
      </c>
      <c r="M228" s="16" t="str">
        <f>DEC2HEX(O228,3)</f>
        <v>017</v>
      </c>
      <c r="N228" s="16" t="str">
        <f>_xlfn.CONCAT(G228," ",H228," ",I228," ",J228," ",K228," ",L228," ",M228)</f>
        <v>GL 07 00 03 B0 0 017</v>
      </c>
      <c r="O228" s="14">
        <v>23</v>
      </c>
      <c r="P228" s="11" t="s">
        <v>3</v>
      </c>
    </row>
    <row r="229" spans="1:16" s="12" customFormat="1" ht="15.75">
      <c r="A229" s="26" t="s">
        <v>347</v>
      </c>
      <c r="B229" s="14" t="s">
        <v>405</v>
      </c>
      <c r="C229" s="14">
        <v>60</v>
      </c>
      <c r="D229" s="15" t="s">
        <v>406</v>
      </c>
      <c r="E229" s="15" t="s">
        <v>459</v>
      </c>
      <c r="F229" s="16" t="s">
        <v>351</v>
      </c>
      <c r="G229" s="16" t="s">
        <v>330</v>
      </c>
      <c r="H229" s="16" t="str">
        <f>""&amp;MID(A229,4,2)</f>
        <v>07</v>
      </c>
      <c r="I229" s="17" t="s">
        <v>319</v>
      </c>
      <c r="J229" s="17" t="s">
        <v>443</v>
      </c>
      <c r="K229" s="18" t="s">
        <v>362</v>
      </c>
      <c r="L229" s="19">
        <v>0</v>
      </c>
      <c r="M229" s="16" t="str">
        <f>DEC2HEX(O229,3)</f>
        <v>018</v>
      </c>
      <c r="N229" s="16" t="str">
        <f>_xlfn.CONCAT(G229," ",H229," ",I229," ",J229," ",K229," ",L229," ",M229)</f>
        <v>GL 07 00 03 B0 0 018</v>
      </c>
      <c r="O229" s="14">
        <v>24</v>
      </c>
      <c r="P229" s="11" t="s">
        <v>3</v>
      </c>
    </row>
    <row r="230" spans="1:16" s="12" customFormat="1" ht="15.75">
      <c r="A230" s="26" t="s">
        <v>347</v>
      </c>
      <c r="B230" s="14" t="s">
        <v>405</v>
      </c>
      <c r="C230" s="14">
        <v>61</v>
      </c>
      <c r="D230" s="15" t="s">
        <v>408</v>
      </c>
      <c r="E230" s="15" t="s">
        <v>460</v>
      </c>
      <c r="F230" s="16" t="s">
        <v>351</v>
      </c>
      <c r="G230" s="16" t="s">
        <v>330</v>
      </c>
      <c r="H230" s="16" t="str">
        <f>""&amp;MID(A230,4,2)</f>
        <v>07</v>
      </c>
      <c r="I230" s="17" t="s">
        <v>319</v>
      </c>
      <c r="J230" s="17" t="s">
        <v>443</v>
      </c>
      <c r="K230" s="18" t="s">
        <v>362</v>
      </c>
      <c r="L230" s="19">
        <v>0</v>
      </c>
      <c r="M230" s="16" t="str">
        <f>DEC2HEX(O230,3)</f>
        <v>019</v>
      </c>
      <c r="N230" s="16" t="str">
        <f>_xlfn.CONCAT(G230," ",H230," ",I230," ",J230," ",K230," ",L230," ",M230)</f>
        <v>GL 07 00 03 B0 0 019</v>
      </c>
      <c r="O230" s="14">
        <v>25</v>
      </c>
      <c r="P230" s="11" t="s">
        <v>3</v>
      </c>
    </row>
    <row r="231" spans="1:16" s="12" customFormat="1" ht="15.75">
      <c r="A231" s="26" t="s">
        <v>347</v>
      </c>
      <c r="B231" s="14" t="s">
        <v>405</v>
      </c>
      <c r="C231" s="14">
        <v>62</v>
      </c>
      <c r="D231" s="15" t="s">
        <v>410</v>
      </c>
      <c r="E231" s="15" t="s">
        <v>461</v>
      </c>
      <c r="F231" s="16" t="s">
        <v>351</v>
      </c>
      <c r="G231" s="16" t="s">
        <v>330</v>
      </c>
      <c r="H231" s="16" t="str">
        <f>""&amp;MID(A231,4,2)</f>
        <v>07</v>
      </c>
      <c r="I231" s="17" t="s">
        <v>319</v>
      </c>
      <c r="J231" s="17" t="s">
        <v>443</v>
      </c>
      <c r="K231" s="18" t="s">
        <v>362</v>
      </c>
      <c r="L231" s="19">
        <v>0</v>
      </c>
      <c r="M231" s="16" t="str">
        <f>DEC2HEX(O231,3)</f>
        <v>01A</v>
      </c>
      <c r="N231" s="16" t="str">
        <f>_xlfn.CONCAT(G231," ",H231," ",I231," ",J231," ",K231," ",L231," ",M231)</f>
        <v>GL 07 00 03 B0 0 01A</v>
      </c>
      <c r="O231" s="14">
        <v>26</v>
      </c>
      <c r="P231" s="11" t="s">
        <v>3</v>
      </c>
    </row>
    <row r="232" spans="1:16" s="12" customFormat="1" ht="15.75">
      <c r="A232" s="26" t="s">
        <v>347</v>
      </c>
      <c r="B232" s="14" t="s">
        <v>405</v>
      </c>
      <c r="C232" s="14">
        <v>63</v>
      </c>
      <c r="D232" s="15" t="s">
        <v>412</v>
      </c>
      <c r="E232" s="15" t="s">
        <v>462</v>
      </c>
      <c r="F232" s="16" t="s">
        <v>351</v>
      </c>
      <c r="G232" s="16" t="s">
        <v>330</v>
      </c>
      <c r="H232" s="16" t="str">
        <f>""&amp;MID(A232,4,2)</f>
        <v>07</v>
      </c>
      <c r="I232" s="17" t="s">
        <v>319</v>
      </c>
      <c r="J232" s="17" t="s">
        <v>443</v>
      </c>
      <c r="K232" s="18" t="s">
        <v>362</v>
      </c>
      <c r="L232" s="19" t="s">
        <v>368</v>
      </c>
      <c r="M232" s="16" t="str">
        <f>DEC2HEX(O232,3)</f>
        <v>01B</v>
      </c>
      <c r="N232" s="16" t="str">
        <f>_xlfn.CONCAT(G232," ",H232," ",I232," ",J232," ",K232," ",L232," ",M232)</f>
        <v>GL 07 00 03 B0 A 01B</v>
      </c>
      <c r="O232" s="14">
        <v>27</v>
      </c>
      <c r="P232" s="11" t="s">
        <v>3</v>
      </c>
    </row>
    <row r="233" spans="1:16" s="12" customFormat="1" ht="15.75">
      <c r="A233" s="26" t="s">
        <v>347</v>
      </c>
      <c r="B233" s="14" t="s">
        <v>405</v>
      </c>
      <c r="C233" s="14">
        <v>64</v>
      </c>
      <c r="D233" s="15" t="s">
        <v>414</v>
      </c>
      <c r="E233" s="15" t="s">
        <v>463</v>
      </c>
      <c r="F233" s="16" t="s">
        <v>351</v>
      </c>
      <c r="G233" s="16" t="s">
        <v>330</v>
      </c>
      <c r="H233" s="16" t="str">
        <f>""&amp;MID(A233,4,2)</f>
        <v>07</v>
      </c>
      <c r="I233" s="17" t="s">
        <v>319</v>
      </c>
      <c r="J233" s="17" t="s">
        <v>443</v>
      </c>
      <c r="K233" s="18" t="s">
        <v>362</v>
      </c>
      <c r="L233" s="19" t="s">
        <v>368</v>
      </c>
      <c r="M233" s="16" t="str">
        <f>DEC2HEX(O233,3)</f>
        <v>01C</v>
      </c>
      <c r="N233" s="16" t="str">
        <f>_xlfn.CONCAT(G233," ",H233," ",I233," ",J233," ",K233," ",L233," ",M233)</f>
        <v>GL 07 00 03 B0 A 01C</v>
      </c>
      <c r="O233" s="14">
        <v>28</v>
      </c>
      <c r="P233" s="11" t="s">
        <v>3</v>
      </c>
    </row>
    <row r="234" spans="1:16" s="12" customFormat="1" ht="15.75">
      <c r="A234" s="26" t="s">
        <v>347</v>
      </c>
      <c r="B234" s="14" t="s">
        <v>348</v>
      </c>
      <c r="C234" s="14">
        <v>65</v>
      </c>
      <c r="D234" s="15" t="s">
        <v>416</v>
      </c>
      <c r="E234" s="15" t="s">
        <v>464</v>
      </c>
      <c r="F234" s="16" t="s">
        <v>351</v>
      </c>
      <c r="G234" s="16" t="s">
        <v>330</v>
      </c>
      <c r="H234" s="16" t="str">
        <f>""&amp;MID(A234,4,2)</f>
        <v>07</v>
      </c>
      <c r="I234" s="17" t="s">
        <v>319</v>
      </c>
      <c r="J234" s="17" t="s">
        <v>443</v>
      </c>
      <c r="K234" s="18" t="s">
        <v>362</v>
      </c>
      <c r="L234" s="19">
        <v>0</v>
      </c>
      <c r="M234" s="16" t="str">
        <f>DEC2HEX(O234,3)</f>
        <v>01D</v>
      </c>
      <c r="N234" s="16" t="str">
        <f>_xlfn.CONCAT(G234," ",H234," ",I234," ",J234," ",K234," ",L234," ",M234)</f>
        <v>GL 07 00 03 B0 0 01D</v>
      </c>
      <c r="O234" s="14">
        <v>29</v>
      </c>
      <c r="P234" s="11" t="s">
        <v>3</v>
      </c>
    </row>
    <row r="235" spans="1:16" s="12" customFormat="1" ht="15.75">
      <c r="A235" s="26" t="s">
        <v>347</v>
      </c>
      <c r="B235" s="14" t="s">
        <v>348</v>
      </c>
      <c r="C235" s="14">
        <v>66</v>
      </c>
      <c r="D235" s="15" t="s">
        <v>418</v>
      </c>
      <c r="E235" s="15" t="s">
        <v>465</v>
      </c>
      <c r="F235" s="16" t="s">
        <v>351</v>
      </c>
      <c r="G235" s="16" t="s">
        <v>330</v>
      </c>
      <c r="H235" s="16" t="str">
        <f>""&amp;MID(A235,4,2)</f>
        <v>07</v>
      </c>
      <c r="I235" s="17" t="s">
        <v>319</v>
      </c>
      <c r="J235" s="17" t="s">
        <v>443</v>
      </c>
      <c r="K235" s="18" t="s">
        <v>362</v>
      </c>
      <c r="L235" s="19">
        <v>0</v>
      </c>
      <c r="M235" s="16" t="str">
        <f>DEC2HEX(O235,3)</f>
        <v>01E</v>
      </c>
      <c r="N235" s="16" t="str">
        <f>_xlfn.CONCAT(G235," ",H235," ",I235," ",J235," ",K235," ",L235," ",M235)</f>
        <v>GL 07 00 03 B0 0 01E</v>
      </c>
      <c r="O235" s="14">
        <v>30</v>
      </c>
      <c r="P235" s="11" t="s">
        <v>3</v>
      </c>
    </row>
    <row r="236" spans="1:16" s="12" customFormat="1" ht="15.75">
      <c r="A236" s="26" t="s">
        <v>347</v>
      </c>
      <c r="B236" s="14" t="s">
        <v>348</v>
      </c>
      <c r="C236" s="14">
        <v>67</v>
      </c>
      <c r="D236" s="15" t="s">
        <v>471</v>
      </c>
      <c r="E236" s="15" t="s">
        <v>472</v>
      </c>
      <c r="F236" s="16" t="s">
        <v>351</v>
      </c>
      <c r="G236" s="16" t="s">
        <v>330</v>
      </c>
      <c r="H236" s="16" t="str">
        <f>""&amp;MID(A236,4,2)</f>
        <v>07</v>
      </c>
      <c r="I236" s="17" t="s">
        <v>319</v>
      </c>
      <c r="J236" s="17" t="s">
        <v>331</v>
      </c>
      <c r="K236" s="18" t="s">
        <v>467</v>
      </c>
      <c r="L236" s="19">
        <v>0</v>
      </c>
      <c r="M236" s="16" t="str">
        <f>DEC2HEX(O236,3)</f>
        <v>007</v>
      </c>
      <c r="N236" s="16" t="str">
        <f>_xlfn.CONCAT(G236," ",H236," ",I236," ",J236," ",K236," ",L236," ",M236)</f>
        <v>GL 07 00 01 B2 0 007</v>
      </c>
      <c r="O236" s="14">
        <v>7</v>
      </c>
      <c r="P236" s="11" t="s">
        <v>468</v>
      </c>
    </row>
    <row r="237" spans="1:16" s="12" customFormat="1" ht="15.75">
      <c r="A237" s="26" t="s">
        <v>347</v>
      </c>
      <c r="B237" s="14" t="s">
        <v>348</v>
      </c>
      <c r="C237" s="14">
        <v>68</v>
      </c>
      <c r="D237" s="15" t="s">
        <v>473</v>
      </c>
      <c r="E237" s="15" t="s">
        <v>474</v>
      </c>
      <c r="F237" s="16" t="s">
        <v>351</v>
      </c>
      <c r="G237" s="16" t="s">
        <v>330</v>
      </c>
      <c r="H237" s="16" t="str">
        <f>""&amp;MID(A237,4,2)</f>
        <v>07</v>
      </c>
      <c r="I237" s="17" t="s">
        <v>319</v>
      </c>
      <c r="J237" s="17" t="s">
        <v>331</v>
      </c>
      <c r="K237" s="18" t="s">
        <v>467</v>
      </c>
      <c r="L237" s="19">
        <v>0</v>
      </c>
      <c r="M237" s="16" t="str">
        <f>DEC2HEX(O237,3)</f>
        <v>008</v>
      </c>
      <c r="N237" s="16" t="str">
        <f>_xlfn.CONCAT(G237," ",H237," ",I237," ",J237," ",K237," ",L237," ",M237)</f>
        <v>GL 07 00 01 B2 0 008</v>
      </c>
      <c r="O237" s="14">
        <v>8</v>
      </c>
      <c r="P237" s="11" t="s">
        <v>468</v>
      </c>
    </row>
    <row r="238" spans="1:16" s="12" customFormat="1" ht="15.75">
      <c r="A238" s="26" t="s">
        <v>347</v>
      </c>
      <c r="B238" s="14" t="s">
        <v>348</v>
      </c>
      <c r="C238" s="14">
        <v>69</v>
      </c>
      <c r="D238" s="15" t="s">
        <v>475</v>
      </c>
      <c r="E238" s="15" t="s">
        <v>476</v>
      </c>
      <c r="F238" s="16" t="s">
        <v>351</v>
      </c>
      <c r="G238" s="16" t="s">
        <v>330</v>
      </c>
      <c r="H238" s="16" t="str">
        <f>""&amp;MID(A238,4,2)</f>
        <v>07</v>
      </c>
      <c r="I238" s="17" t="s">
        <v>319</v>
      </c>
      <c r="J238" s="17" t="s">
        <v>331</v>
      </c>
      <c r="K238" s="18" t="s">
        <v>467</v>
      </c>
      <c r="L238" s="19">
        <v>0</v>
      </c>
      <c r="M238" s="16" t="str">
        <f>DEC2HEX(O238,3)</f>
        <v>009</v>
      </c>
      <c r="N238" s="16" t="str">
        <f>_xlfn.CONCAT(G238," ",H238," ",I238," ",J238," ",K238," ",L238," ",M238)</f>
        <v>GL 07 00 01 B2 0 009</v>
      </c>
      <c r="O238" s="14">
        <v>9</v>
      </c>
      <c r="P238" s="11" t="s">
        <v>468</v>
      </c>
    </row>
    <row r="239" spans="1:16" s="12" customFormat="1" ht="15.75">
      <c r="A239" s="26" t="s">
        <v>347</v>
      </c>
      <c r="B239" s="14" t="s">
        <v>348</v>
      </c>
      <c r="C239" s="14">
        <v>70</v>
      </c>
      <c r="D239" s="15" t="s">
        <v>477</v>
      </c>
      <c r="E239" s="15" t="s">
        <v>478</v>
      </c>
      <c r="F239" s="16" t="s">
        <v>351</v>
      </c>
      <c r="G239" s="16" t="s">
        <v>330</v>
      </c>
      <c r="H239" s="16" t="str">
        <f>""&amp;MID(A239,4,2)</f>
        <v>07</v>
      </c>
      <c r="I239" s="17" t="s">
        <v>319</v>
      </c>
      <c r="J239" s="17" t="s">
        <v>331</v>
      </c>
      <c r="K239" s="18" t="s">
        <v>467</v>
      </c>
      <c r="L239" s="19">
        <v>0</v>
      </c>
      <c r="M239" s="16" t="str">
        <f>DEC2HEX(O239,3)</f>
        <v>00A</v>
      </c>
      <c r="N239" s="16" t="str">
        <f>_xlfn.CONCAT(G239," ",H239," ",I239," ",J239," ",K239," ",L239," ",M239)</f>
        <v>GL 07 00 01 B2 0 00A</v>
      </c>
      <c r="O239" s="14">
        <v>10</v>
      </c>
      <c r="P239" s="11" t="s">
        <v>468</v>
      </c>
    </row>
    <row r="240" spans="1:16" s="12" customFormat="1" ht="15.75">
      <c r="A240" s="26" t="s">
        <v>347</v>
      </c>
      <c r="B240" s="14" t="s">
        <v>348</v>
      </c>
      <c r="C240" s="14">
        <v>71</v>
      </c>
      <c r="D240" s="15" t="s">
        <v>479</v>
      </c>
      <c r="E240" s="15" t="s">
        <v>480</v>
      </c>
      <c r="F240" s="16" t="s">
        <v>351</v>
      </c>
      <c r="G240" s="16" t="s">
        <v>330</v>
      </c>
      <c r="H240" s="16" t="str">
        <f>""&amp;MID(A240,4,2)</f>
        <v>07</v>
      </c>
      <c r="I240" s="17" t="s">
        <v>319</v>
      </c>
      <c r="J240" s="17" t="s">
        <v>331</v>
      </c>
      <c r="K240" s="18" t="s">
        <v>467</v>
      </c>
      <c r="L240" s="19">
        <v>0</v>
      </c>
      <c r="M240" s="16" t="str">
        <f>DEC2HEX(O240,3)</f>
        <v>00B</v>
      </c>
      <c r="N240" s="16" t="str">
        <f>_xlfn.CONCAT(G240," ",H240," ",I240," ",J240," ",K240," ",L240," ",M240)</f>
        <v>GL 07 00 01 B2 0 00B</v>
      </c>
      <c r="O240" s="14">
        <v>11</v>
      </c>
      <c r="P240" s="11" t="s">
        <v>468</v>
      </c>
    </row>
    <row r="241" spans="1:16" s="12" customFormat="1" ht="15.75">
      <c r="A241" s="26" t="s">
        <v>347</v>
      </c>
      <c r="B241" s="14" t="s">
        <v>348</v>
      </c>
      <c r="C241" s="14">
        <v>72</v>
      </c>
      <c r="D241" s="15" t="s">
        <v>481</v>
      </c>
      <c r="E241" s="15" t="s">
        <v>482</v>
      </c>
      <c r="F241" s="16" t="s">
        <v>351</v>
      </c>
      <c r="G241" s="16" t="s">
        <v>330</v>
      </c>
      <c r="H241" s="16" t="str">
        <f>""&amp;MID(A241,4,2)</f>
        <v>07</v>
      </c>
      <c r="I241" s="17" t="s">
        <v>319</v>
      </c>
      <c r="J241" s="17" t="s">
        <v>331</v>
      </c>
      <c r="K241" s="18" t="s">
        <v>467</v>
      </c>
      <c r="L241" s="19">
        <v>0</v>
      </c>
      <c r="M241" s="16" t="str">
        <f>DEC2HEX(O241,3)</f>
        <v>00C</v>
      </c>
      <c r="N241" s="16" t="str">
        <f>_xlfn.CONCAT(G241," ",H241," ",I241," ",J241," ",K241," ",L241," ",M241)</f>
        <v>GL 07 00 01 B2 0 00C</v>
      </c>
      <c r="O241" s="14">
        <v>12</v>
      </c>
      <c r="P241" s="11" t="s">
        <v>468</v>
      </c>
    </row>
    <row r="242" spans="1:16" s="12" customFormat="1" ht="15.75">
      <c r="A242" s="26" t="s">
        <v>347</v>
      </c>
      <c r="B242" s="14" t="s">
        <v>348</v>
      </c>
      <c r="C242" s="14">
        <v>73</v>
      </c>
      <c r="D242" s="15" t="s">
        <v>471</v>
      </c>
      <c r="E242" s="15" t="s">
        <v>483</v>
      </c>
      <c r="F242" s="16" t="s">
        <v>351</v>
      </c>
      <c r="G242" s="16" t="s">
        <v>330</v>
      </c>
      <c r="H242" s="16" t="str">
        <f>""&amp;MID(A242,4,2)</f>
        <v>07</v>
      </c>
      <c r="I242" s="17" t="s">
        <v>319</v>
      </c>
      <c r="J242" s="17" t="s">
        <v>420</v>
      </c>
      <c r="K242" s="18" t="s">
        <v>467</v>
      </c>
      <c r="L242" s="19">
        <v>0</v>
      </c>
      <c r="M242" s="16" t="str">
        <f>DEC2HEX(O242,3)</f>
        <v>007</v>
      </c>
      <c r="N242" s="16" t="str">
        <f>_xlfn.CONCAT(G242," ",H242," ",I242," ",J242," ",K242," ",L242," ",M242)</f>
        <v>GL 07 00 02 B2 0 007</v>
      </c>
      <c r="O242" s="14">
        <v>7</v>
      </c>
      <c r="P242" s="11" t="s">
        <v>468</v>
      </c>
    </row>
    <row r="243" spans="1:16" s="12" customFormat="1" ht="15.75">
      <c r="A243" s="26" t="s">
        <v>347</v>
      </c>
      <c r="B243" s="14" t="s">
        <v>348</v>
      </c>
      <c r="C243" s="14">
        <v>74</v>
      </c>
      <c r="D243" s="15" t="s">
        <v>473</v>
      </c>
      <c r="E243" s="15" t="s">
        <v>484</v>
      </c>
      <c r="F243" s="16" t="s">
        <v>351</v>
      </c>
      <c r="G243" s="16" t="s">
        <v>330</v>
      </c>
      <c r="H243" s="16" t="str">
        <f>""&amp;MID(A243,4,2)</f>
        <v>07</v>
      </c>
      <c r="I243" s="17" t="s">
        <v>319</v>
      </c>
      <c r="J243" s="17" t="s">
        <v>420</v>
      </c>
      <c r="K243" s="18" t="s">
        <v>467</v>
      </c>
      <c r="L243" s="19">
        <v>0</v>
      </c>
      <c r="M243" s="16" t="str">
        <f>DEC2HEX(O243,3)</f>
        <v>008</v>
      </c>
      <c r="N243" s="16" t="str">
        <f>_xlfn.CONCAT(G243," ",H243," ",I243," ",J243," ",K243," ",L243," ",M243)</f>
        <v>GL 07 00 02 B2 0 008</v>
      </c>
      <c r="O243" s="14">
        <v>8</v>
      </c>
      <c r="P243" s="11" t="s">
        <v>468</v>
      </c>
    </row>
    <row r="244" spans="1:16" s="12" customFormat="1" ht="15.75">
      <c r="A244" s="26" t="s">
        <v>347</v>
      </c>
      <c r="B244" s="14" t="s">
        <v>348</v>
      </c>
      <c r="C244" s="14">
        <v>75</v>
      </c>
      <c r="D244" s="15" t="s">
        <v>475</v>
      </c>
      <c r="E244" s="15" t="s">
        <v>485</v>
      </c>
      <c r="F244" s="16" t="s">
        <v>351</v>
      </c>
      <c r="G244" s="16" t="s">
        <v>330</v>
      </c>
      <c r="H244" s="16" t="str">
        <f>""&amp;MID(A244,4,2)</f>
        <v>07</v>
      </c>
      <c r="I244" s="17" t="s">
        <v>319</v>
      </c>
      <c r="J244" s="17" t="s">
        <v>420</v>
      </c>
      <c r="K244" s="18" t="s">
        <v>467</v>
      </c>
      <c r="L244" s="19">
        <v>0</v>
      </c>
      <c r="M244" s="16" t="str">
        <f>DEC2HEX(O244,3)</f>
        <v>009</v>
      </c>
      <c r="N244" s="16" t="str">
        <f>_xlfn.CONCAT(G244," ",H244," ",I244," ",J244," ",K244," ",L244," ",M244)</f>
        <v>GL 07 00 02 B2 0 009</v>
      </c>
      <c r="O244" s="14">
        <v>9</v>
      </c>
      <c r="P244" s="11" t="s">
        <v>468</v>
      </c>
    </row>
    <row r="245" spans="1:16" s="12" customFormat="1" ht="15.75">
      <c r="A245" s="26" t="s">
        <v>347</v>
      </c>
      <c r="B245" s="14" t="s">
        <v>348</v>
      </c>
      <c r="C245" s="14">
        <v>76</v>
      </c>
      <c r="D245" s="15" t="s">
        <v>477</v>
      </c>
      <c r="E245" s="15" t="s">
        <v>486</v>
      </c>
      <c r="F245" s="16" t="s">
        <v>351</v>
      </c>
      <c r="G245" s="16" t="s">
        <v>330</v>
      </c>
      <c r="H245" s="16" t="str">
        <f>""&amp;MID(A245,4,2)</f>
        <v>07</v>
      </c>
      <c r="I245" s="17" t="s">
        <v>319</v>
      </c>
      <c r="J245" s="17" t="s">
        <v>420</v>
      </c>
      <c r="K245" s="18" t="s">
        <v>467</v>
      </c>
      <c r="L245" s="19">
        <v>0</v>
      </c>
      <c r="M245" s="16" t="str">
        <f>DEC2HEX(O245,3)</f>
        <v>00A</v>
      </c>
      <c r="N245" s="16" t="str">
        <f>_xlfn.CONCAT(G245," ",H245," ",I245," ",J245," ",K245," ",L245," ",M245)</f>
        <v>GL 07 00 02 B2 0 00A</v>
      </c>
      <c r="O245" s="14">
        <v>10</v>
      </c>
      <c r="P245" s="11" t="s">
        <v>468</v>
      </c>
    </row>
    <row r="246" spans="1:16" s="12" customFormat="1" ht="15.75">
      <c r="A246" s="26" t="s">
        <v>347</v>
      </c>
      <c r="B246" s="14" t="s">
        <v>348</v>
      </c>
      <c r="C246" s="14">
        <v>77</v>
      </c>
      <c r="D246" s="15" t="s">
        <v>479</v>
      </c>
      <c r="E246" s="15" t="s">
        <v>487</v>
      </c>
      <c r="F246" s="16" t="s">
        <v>351</v>
      </c>
      <c r="G246" s="16" t="s">
        <v>330</v>
      </c>
      <c r="H246" s="16" t="str">
        <f>""&amp;MID(A246,4,2)</f>
        <v>07</v>
      </c>
      <c r="I246" s="17" t="s">
        <v>319</v>
      </c>
      <c r="J246" s="17" t="s">
        <v>420</v>
      </c>
      <c r="K246" s="18" t="s">
        <v>467</v>
      </c>
      <c r="L246" s="19">
        <v>0</v>
      </c>
      <c r="M246" s="16" t="str">
        <f>DEC2HEX(O246,3)</f>
        <v>00B</v>
      </c>
      <c r="N246" s="16" t="str">
        <f>_xlfn.CONCAT(G246," ",H246," ",I246," ",J246," ",K246," ",L246," ",M246)</f>
        <v>GL 07 00 02 B2 0 00B</v>
      </c>
      <c r="O246" s="14">
        <v>11</v>
      </c>
      <c r="P246" s="11" t="s">
        <v>468</v>
      </c>
    </row>
    <row r="247" spans="1:16" s="12" customFormat="1" ht="15.75">
      <c r="A247" s="26" t="s">
        <v>347</v>
      </c>
      <c r="B247" s="14" t="s">
        <v>348</v>
      </c>
      <c r="C247" s="14">
        <v>78</v>
      </c>
      <c r="D247" s="15" t="s">
        <v>481</v>
      </c>
      <c r="E247" s="15" t="s">
        <v>488</v>
      </c>
      <c r="F247" s="16" t="s">
        <v>351</v>
      </c>
      <c r="G247" s="16" t="s">
        <v>330</v>
      </c>
      <c r="H247" s="16" t="str">
        <f>""&amp;MID(A247,4,2)</f>
        <v>07</v>
      </c>
      <c r="I247" s="17" t="s">
        <v>319</v>
      </c>
      <c r="J247" s="17" t="s">
        <v>420</v>
      </c>
      <c r="K247" s="18" t="s">
        <v>467</v>
      </c>
      <c r="L247" s="19">
        <v>0</v>
      </c>
      <c r="M247" s="16" t="str">
        <f>DEC2HEX(O247,3)</f>
        <v>00C</v>
      </c>
      <c r="N247" s="16" t="str">
        <f>_xlfn.CONCAT(G247," ",H247," ",I247," ",J247," ",K247," ",L247," ",M247)</f>
        <v>GL 07 00 02 B2 0 00C</v>
      </c>
      <c r="O247" s="14">
        <v>12</v>
      </c>
      <c r="P247" s="11" t="s">
        <v>468</v>
      </c>
    </row>
    <row r="248" spans="1:16" s="12" customFormat="1" ht="15.75">
      <c r="A248" s="26" t="s">
        <v>347</v>
      </c>
      <c r="B248" s="14" t="s">
        <v>348</v>
      </c>
      <c r="C248" s="14">
        <v>79</v>
      </c>
      <c r="D248" s="15" t="s">
        <v>471</v>
      </c>
      <c r="E248" s="15" t="s">
        <v>489</v>
      </c>
      <c r="F248" s="16" t="s">
        <v>351</v>
      </c>
      <c r="G248" s="16" t="s">
        <v>330</v>
      </c>
      <c r="H248" s="16" t="str">
        <f>""&amp;MID(A248,4,2)</f>
        <v>07</v>
      </c>
      <c r="I248" s="17" t="s">
        <v>319</v>
      </c>
      <c r="J248" s="17" t="s">
        <v>443</v>
      </c>
      <c r="K248" s="18" t="s">
        <v>467</v>
      </c>
      <c r="L248" s="19">
        <v>0</v>
      </c>
      <c r="M248" s="16" t="str">
        <f>DEC2HEX(O248,3)</f>
        <v>007</v>
      </c>
      <c r="N248" s="16" t="str">
        <f>_xlfn.CONCAT(G248," ",H248," ",I248," ",J248," ",K248," ",L248," ",M248)</f>
        <v>GL 07 00 03 B2 0 007</v>
      </c>
      <c r="O248" s="14">
        <v>7</v>
      </c>
      <c r="P248" s="11" t="s">
        <v>468</v>
      </c>
    </row>
    <row r="249" spans="1:16" s="12" customFormat="1" ht="15.75">
      <c r="A249" s="26" t="s">
        <v>347</v>
      </c>
      <c r="B249" s="14" t="s">
        <v>348</v>
      </c>
      <c r="C249" s="14">
        <v>80</v>
      </c>
      <c r="D249" s="15" t="s">
        <v>473</v>
      </c>
      <c r="E249" s="15" t="s">
        <v>490</v>
      </c>
      <c r="F249" s="16" t="s">
        <v>351</v>
      </c>
      <c r="G249" s="16" t="s">
        <v>330</v>
      </c>
      <c r="H249" s="16" t="str">
        <f>""&amp;MID(A249,4,2)</f>
        <v>07</v>
      </c>
      <c r="I249" s="17" t="s">
        <v>319</v>
      </c>
      <c r="J249" s="17" t="s">
        <v>443</v>
      </c>
      <c r="K249" s="18" t="s">
        <v>467</v>
      </c>
      <c r="L249" s="19">
        <v>0</v>
      </c>
      <c r="M249" s="16" t="str">
        <f>DEC2HEX(O249,3)</f>
        <v>008</v>
      </c>
      <c r="N249" s="16" t="str">
        <f>_xlfn.CONCAT(G249," ",H249," ",I249," ",J249," ",K249," ",L249," ",M249)</f>
        <v>GL 07 00 03 B2 0 008</v>
      </c>
      <c r="O249" s="14">
        <v>8</v>
      </c>
      <c r="P249" s="11" t="s">
        <v>468</v>
      </c>
    </row>
    <row r="250" spans="1:16" s="12" customFormat="1" ht="15.75">
      <c r="A250" s="26" t="s">
        <v>347</v>
      </c>
      <c r="B250" s="14" t="s">
        <v>348</v>
      </c>
      <c r="C250" s="14">
        <v>81</v>
      </c>
      <c r="D250" s="15" t="s">
        <v>475</v>
      </c>
      <c r="E250" s="15" t="s">
        <v>491</v>
      </c>
      <c r="F250" s="16" t="s">
        <v>351</v>
      </c>
      <c r="G250" s="16" t="s">
        <v>330</v>
      </c>
      <c r="H250" s="16" t="str">
        <f>""&amp;MID(A250,4,2)</f>
        <v>07</v>
      </c>
      <c r="I250" s="17" t="s">
        <v>319</v>
      </c>
      <c r="J250" s="17" t="s">
        <v>443</v>
      </c>
      <c r="K250" s="18" t="s">
        <v>467</v>
      </c>
      <c r="L250" s="19">
        <v>0</v>
      </c>
      <c r="M250" s="16" t="str">
        <f>DEC2HEX(O250,3)</f>
        <v>009</v>
      </c>
      <c r="N250" s="16" t="str">
        <f>_xlfn.CONCAT(G250," ",H250," ",I250," ",J250," ",K250," ",L250," ",M250)</f>
        <v>GL 07 00 03 B2 0 009</v>
      </c>
      <c r="O250" s="14">
        <v>9</v>
      </c>
      <c r="P250" s="11" t="s">
        <v>468</v>
      </c>
    </row>
    <row r="251" spans="1:16" s="12" customFormat="1" ht="15.75">
      <c r="A251" s="26" t="s">
        <v>347</v>
      </c>
      <c r="B251" s="14" t="s">
        <v>348</v>
      </c>
      <c r="C251" s="14">
        <v>82</v>
      </c>
      <c r="D251" s="15" t="s">
        <v>477</v>
      </c>
      <c r="E251" s="15" t="s">
        <v>492</v>
      </c>
      <c r="F251" s="16" t="s">
        <v>351</v>
      </c>
      <c r="G251" s="16" t="s">
        <v>330</v>
      </c>
      <c r="H251" s="16" t="str">
        <f>""&amp;MID(A251,4,2)</f>
        <v>07</v>
      </c>
      <c r="I251" s="17" t="s">
        <v>319</v>
      </c>
      <c r="J251" s="17" t="s">
        <v>443</v>
      </c>
      <c r="K251" s="18" t="s">
        <v>467</v>
      </c>
      <c r="L251" s="19">
        <v>0</v>
      </c>
      <c r="M251" s="16" t="str">
        <f>DEC2HEX(O251,3)</f>
        <v>00A</v>
      </c>
      <c r="N251" s="16" t="str">
        <f>_xlfn.CONCAT(G251," ",H251," ",I251," ",J251," ",K251," ",L251," ",M251)</f>
        <v>GL 07 00 03 B2 0 00A</v>
      </c>
      <c r="O251" s="14">
        <v>10</v>
      </c>
      <c r="P251" s="11" t="s">
        <v>468</v>
      </c>
    </row>
    <row r="252" spans="1:16" s="12" customFormat="1" ht="15.75">
      <c r="A252" s="26" t="s">
        <v>347</v>
      </c>
      <c r="B252" s="14" t="s">
        <v>348</v>
      </c>
      <c r="C252" s="14">
        <v>83</v>
      </c>
      <c r="D252" s="15" t="s">
        <v>479</v>
      </c>
      <c r="E252" s="15" t="s">
        <v>493</v>
      </c>
      <c r="F252" s="16" t="s">
        <v>351</v>
      </c>
      <c r="G252" s="16" t="s">
        <v>330</v>
      </c>
      <c r="H252" s="16" t="str">
        <f>""&amp;MID(A252,4,2)</f>
        <v>07</v>
      </c>
      <c r="I252" s="17" t="s">
        <v>319</v>
      </c>
      <c r="J252" s="17" t="s">
        <v>443</v>
      </c>
      <c r="K252" s="18" t="s">
        <v>467</v>
      </c>
      <c r="L252" s="19">
        <v>0</v>
      </c>
      <c r="M252" s="16" t="str">
        <f>DEC2HEX(O252,3)</f>
        <v>00B</v>
      </c>
      <c r="N252" s="16" t="str">
        <f>_xlfn.CONCAT(G252," ",H252," ",I252," ",J252," ",K252," ",L252," ",M252)</f>
        <v>GL 07 00 03 B2 0 00B</v>
      </c>
      <c r="O252" s="14">
        <v>11</v>
      </c>
      <c r="P252" s="11" t="s">
        <v>468</v>
      </c>
    </row>
    <row r="253" spans="1:16" s="12" customFormat="1" ht="15.75">
      <c r="A253" s="26" t="s">
        <v>347</v>
      </c>
      <c r="B253" s="14" t="s">
        <v>348</v>
      </c>
      <c r="C253" s="14">
        <v>84</v>
      </c>
      <c r="D253" s="15" t="s">
        <v>481</v>
      </c>
      <c r="E253" s="15" t="s">
        <v>494</v>
      </c>
      <c r="F253" s="16" t="s">
        <v>351</v>
      </c>
      <c r="G253" s="16" t="s">
        <v>330</v>
      </c>
      <c r="H253" s="16" t="str">
        <f>""&amp;MID(A253,4,2)</f>
        <v>07</v>
      </c>
      <c r="I253" s="17" t="s">
        <v>319</v>
      </c>
      <c r="J253" s="17" t="s">
        <v>443</v>
      </c>
      <c r="K253" s="18" t="s">
        <v>467</v>
      </c>
      <c r="L253" s="19">
        <v>0</v>
      </c>
      <c r="M253" s="16" t="str">
        <f>DEC2HEX(O253,3)</f>
        <v>00C</v>
      </c>
      <c r="N253" s="16" t="str">
        <f>_xlfn.CONCAT(G253," ",H253," ",I253," ",J253," ",K253," ",L253," ",M253)</f>
        <v>GL 07 00 03 B2 0 00C</v>
      </c>
      <c r="O253" s="14">
        <v>12</v>
      </c>
      <c r="P253" s="11" t="s">
        <v>468</v>
      </c>
    </row>
    <row r="254" spans="1:16" s="12" customFormat="1" ht="15.75">
      <c r="A254" s="26" t="s">
        <v>347</v>
      </c>
      <c r="B254" s="14" t="s">
        <v>348</v>
      </c>
      <c r="C254" s="14">
        <v>85</v>
      </c>
      <c r="D254" s="15" t="s">
        <v>349</v>
      </c>
      <c r="E254" s="15" t="s">
        <v>350</v>
      </c>
      <c r="F254" s="16" t="s">
        <v>351</v>
      </c>
      <c r="G254" s="16" t="s">
        <v>330</v>
      </c>
      <c r="H254" s="16" t="str">
        <f>""&amp;MID(A254,4,2)</f>
        <v>07</v>
      </c>
      <c r="I254" s="17" t="s">
        <v>319</v>
      </c>
      <c r="J254" s="17" t="s">
        <v>331</v>
      </c>
      <c r="K254" s="18" t="s">
        <v>332</v>
      </c>
      <c r="L254" s="19">
        <v>0</v>
      </c>
      <c r="M254" s="16" t="str">
        <f>DEC2HEX(O254,3)</f>
        <v>00F</v>
      </c>
      <c r="N254" s="16" t="str">
        <f>_xlfn.CONCAT(G254," ",H254," ",I254," ",J254," ",K254," ",L254," ",M254)</f>
        <v>GL 07 00 01 C0 0 00F</v>
      </c>
      <c r="O254" s="14">
        <v>15</v>
      </c>
      <c r="P254" s="11" t="s">
        <v>2</v>
      </c>
    </row>
    <row r="255" spans="1:16" s="12" customFormat="1" ht="15.75">
      <c r="A255" s="26" t="s">
        <v>347</v>
      </c>
      <c r="B255" s="14" t="s">
        <v>348</v>
      </c>
      <c r="C255" s="14">
        <v>86</v>
      </c>
      <c r="D255" s="15" t="s">
        <v>352</v>
      </c>
      <c r="E255" s="15" t="s">
        <v>353</v>
      </c>
      <c r="F255" s="16" t="s">
        <v>351</v>
      </c>
      <c r="G255" s="16" t="s">
        <v>330</v>
      </c>
      <c r="H255" s="16" t="str">
        <f>""&amp;MID(A255,4,2)</f>
        <v>07</v>
      </c>
      <c r="I255" s="17" t="s">
        <v>319</v>
      </c>
      <c r="J255" s="17" t="s">
        <v>331</v>
      </c>
      <c r="K255" s="18" t="s">
        <v>332</v>
      </c>
      <c r="L255" s="19">
        <v>0</v>
      </c>
      <c r="M255" s="16" t="str">
        <f>DEC2HEX(O255,3)</f>
        <v>010</v>
      </c>
      <c r="N255" s="16" t="str">
        <f>_xlfn.CONCAT(G255," ",H255," ",I255," ",J255," ",K255," ",L255," ",M255)</f>
        <v>GL 07 00 01 C0 0 010</v>
      </c>
      <c r="O255" s="14">
        <v>16</v>
      </c>
      <c r="P255" s="11" t="s">
        <v>2</v>
      </c>
    </row>
    <row r="256" spans="1:16" s="12" customFormat="1" ht="15.75">
      <c r="A256" s="26" t="s">
        <v>347</v>
      </c>
      <c r="B256" s="14" t="s">
        <v>348</v>
      </c>
      <c r="C256" s="14">
        <v>87</v>
      </c>
      <c r="D256" s="15" t="s">
        <v>354</v>
      </c>
      <c r="E256" s="15" t="s">
        <v>355</v>
      </c>
      <c r="F256" s="16" t="s">
        <v>351</v>
      </c>
      <c r="G256" s="16" t="s">
        <v>330</v>
      </c>
      <c r="H256" s="16" t="str">
        <f>""&amp;MID(A256,4,2)</f>
        <v>07</v>
      </c>
      <c r="I256" s="17" t="s">
        <v>319</v>
      </c>
      <c r="J256" s="17" t="s">
        <v>331</v>
      </c>
      <c r="K256" s="18" t="s">
        <v>332</v>
      </c>
      <c r="L256" s="19">
        <v>0</v>
      </c>
      <c r="M256" s="16" t="str">
        <f>DEC2HEX(O256,3)</f>
        <v>011</v>
      </c>
      <c r="N256" s="16" t="str">
        <f>_xlfn.CONCAT(G256," ",H256," ",I256," ",J256," ",K256," ",L256," ",M256)</f>
        <v>GL 07 00 01 C0 0 011</v>
      </c>
      <c r="O256" s="14">
        <v>17</v>
      </c>
      <c r="P256" s="11" t="s">
        <v>2</v>
      </c>
    </row>
    <row r="257" spans="1:16" s="12" customFormat="1" ht="15.75">
      <c r="A257" s="26" t="s">
        <v>347</v>
      </c>
      <c r="B257" s="14" t="s">
        <v>348</v>
      </c>
      <c r="C257" s="14">
        <v>88</v>
      </c>
      <c r="D257" s="15" t="s">
        <v>356</v>
      </c>
      <c r="E257" s="15" t="s">
        <v>357</v>
      </c>
      <c r="F257" s="16" t="s">
        <v>351</v>
      </c>
      <c r="G257" s="16" t="s">
        <v>330</v>
      </c>
      <c r="H257" s="16" t="str">
        <f>""&amp;MID(A257,4,2)</f>
        <v>07</v>
      </c>
      <c r="I257" s="17" t="s">
        <v>319</v>
      </c>
      <c r="J257" s="17" t="s">
        <v>331</v>
      </c>
      <c r="K257" s="18" t="s">
        <v>332</v>
      </c>
      <c r="L257" s="19">
        <v>0</v>
      </c>
      <c r="M257" s="16" t="str">
        <f>DEC2HEX(O257,3)</f>
        <v>012</v>
      </c>
      <c r="N257" s="16" t="str">
        <f>_xlfn.CONCAT(G257," ",H257," ",I257," ",J257," ",K257," ",L257," ",M257)</f>
        <v>GL 07 00 01 C0 0 012</v>
      </c>
      <c r="O257" s="14">
        <v>18</v>
      </c>
      <c r="P257" s="11" t="s">
        <v>2</v>
      </c>
    </row>
    <row r="258" spans="1:16" s="12" customFormat="1" ht="15.75">
      <c r="A258" s="26" t="s">
        <v>347</v>
      </c>
      <c r="B258" s="14" t="s">
        <v>348</v>
      </c>
      <c r="C258" s="14">
        <v>89</v>
      </c>
      <c r="D258" s="15" t="s">
        <v>358</v>
      </c>
      <c r="E258" s="15" t="s">
        <v>359</v>
      </c>
      <c r="F258" s="16" t="s">
        <v>351</v>
      </c>
      <c r="G258" s="16" t="s">
        <v>330</v>
      </c>
      <c r="H258" s="16" t="str">
        <f>""&amp;MID(A258,4,2)</f>
        <v>07</v>
      </c>
      <c r="I258" s="17" t="s">
        <v>319</v>
      </c>
      <c r="J258" s="17" t="s">
        <v>331</v>
      </c>
      <c r="K258" s="18" t="s">
        <v>332</v>
      </c>
      <c r="L258" s="19">
        <v>0</v>
      </c>
      <c r="M258" s="16" t="str">
        <f>DEC2HEX(O258,3)</f>
        <v>013</v>
      </c>
      <c r="N258" s="16" t="str">
        <f>_xlfn.CONCAT(G258," ",H258," ",I258," ",J258," ",K258," ",L258," ",M258)</f>
        <v>GL 07 00 01 C0 0 013</v>
      </c>
      <c r="O258" s="14">
        <v>19</v>
      </c>
      <c r="P258" s="11" t="s">
        <v>2</v>
      </c>
    </row>
    <row r="259" spans="1:16" s="12" customFormat="1" ht="15.75">
      <c r="A259" s="26" t="s">
        <v>347</v>
      </c>
      <c r="B259" s="14" t="s">
        <v>348</v>
      </c>
      <c r="C259" s="14">
        <v>90</v>
      </c>
      <c r="D259" s="15" t="s">
        <v>605</v>
      </c>
      <c r="E259" s="15" t="s">
        <v>597</v>
      </c>
      <c r="F259" s="16" t="s">
        <v>351</v>
      </c>
      <c r="G259" s="16" t="s">
        <v>330</v>
      </c>
      <c r="H259" s="16" t="str">
        <f>""&amp;MID(A259,4,2)</f>
        <v>07</v>
      </c>
      <c r="I259" s="17" t="s">
        <v>319</v>
      </c>
      <c r="J259" s="17" t="s">
        <v>331</v>
      </c>
      <c r="K259" s="18" t="s">
        <v>517</v>
      </c>
      <c r="L259" s="19">
        <v>0</v>
      </c>
      <c r="M259" s="16" t="str">
        <f>DEC2HEX(O259,3)</f>
        <v>01B</v>
      </c>
      <c r="N259" s="16" t="str">
        <f>_xlfn.CONCAT(G259," ",H259," ",I259," ",J259," ",K259," ",L259," ",M259)</f>
        <v>GL 07 00 01 B7 0 01B</v>
      </c>
      <c r="O259" s="14">
        <v>27</v>
      </c>
      <c r="P259" s="11" t="s">
        <v>6</v>
      </c>
    </row>
    <row r="260" spans="1:16" s="12" customFormat="1" ht="15.75">
      <c r="A260" s="26" t="s">
        <v>347</v>
      </c>
      <c r="B260" s="14" t="s">
        <v>348</v>
      </c>
      <c r="C260" s="14">
        <v>91</v>
      </c>
      <c r="D260" s="15" t="s">
        <v>606</v>
      </c>
      <c r="E260" s="15" t="s">
        <v>598</v>
      </c>
      <c r="F260" s="16" t="s">
        <v>351</v>
      </c>
      <c r="G260" s="16" t="s">
        <v>330</v>
      </c>
      <c r="H260" s="16" t="str">
        <f>""&amp;MID(A260,4,2)</f>
        <v>07</v>
      </c>
      <c r="I260" s="17" t="s">
        <v>319</v>
      </c>
      <c r="J260" s="17" t="s">
        <v>331</v>
      </c>
      <c r="K260" s="18" t="s">
        <v>517</v>
      </c>
      <c r="L260" s="19">
        <v>0</v>
      </c>
      <c r="M260" s="16" t="str">
        <f>DEC2HEX(O260,3)</f>
        <v>01C</v>
      </c>
      <c r="N260" s="16" t="str">
        <f>_xlfn.CONCAT(G260," ",H260," ",I260," ",J260," ",K260," ",L260," ",M260)</f>
        <v>GL 07 00 01 B7 0 01C</v>
      </c>
      <c r="O260" s="14">
        <v>28</v>
      </c>
      <c r="P260" s="11" t="s">
        <v>6</v>
      </c>
    </row>
    <row r="261" spans="1:16" s="12" customFormat="1" ht="15.75">
      <c r="A261" s="26" t="s">
        <v>347</v>
      </c>
      <c r="B261" s="14" t="s">
        <v>348</v>
      </c>
      <c r="C261" s="14">
        <v>92</v>
      </c>
      <c r="D261" s="15" t="s">
        <v>607</v>
      </c>
      <c r="E261" s="15" t="s">
        <v>599</v>
      </c>
      <c r="F261" s="16" t="s">
        <v>351</v>
      </c>
      <c r="G261" s="16" t="s">
        <v>330</v>
      </c>
      <c r="H261" s="16" t="str">
        <f>""&amp;MID(A261,4,2)</f>
        <v>07</v>
      </c>
      <c r="I261" s="17" t="s">
        <v>319</v>
      </c>
      <c r="J261" s="17" t="s">
        <v>331</v>
      </c>
      <c r="K261" s="18" t="s">
        <v>517</v>
      </c>
      <c r="L261" s="19">
        <v>0</v>
      </c>
      <c r="M261" s="16" t="str">
        <f>DEC2HEX(O261,3)</f>
        <v>01D</v>
      </c>
      <c r="N261" s="16" t="str">
        <f>_xlfn.CONCAT(G261," ",H261," ",I261," ",J261," ",K261," ",L261," ",M261)</f>
        <v>GL 07 00 01 B7 0 01D</v>
      </c>
      <c r="O261" s="14">
        <v>29</v>
      </c>
      <c r="P261" s="11" t="s">
        <v>6</v>
      </c>
    </row>
    <row r="262" spans="1:16" s="12" customFormat="1" ht="15.75">
      <c r="A262" s="26" t="s">
        <v>347</v>
      </c>
      <c r="B262" s="14" t="s">
        <v>348</v>
      </c>
      <c r="C262" s="14">
        <v>93</v>
      </c>
      <c r="D262" s="15" t="s">
        <v>608</v>
      </c>
      <c r="E262" s="15" t="s">
        <v>600</v>
      </c>
      <c r="F262" s="16" t="s">
        <v>351</v>
      </c>
      <c r="G262" s="16" t="s">
        <v>330</v>
      </c>
      <c r="H262" s="16" t="str">
        <f>""&amp;MID(A262,4,2)</f>
        <v>07</v>
      </c>
      <c r="I262" s="17" t="s">
        <v>319</v>
      </c>
      <c r="J262" s="17" t="s">
        <v>331</v>
      </c>
      <c r="K262" s="18" t="s">
        <v>517</v>
      </c>
      <c r="L262" s="19">
        <v>0</v>
      </c>
      <c r="M262" s="16" t="str">
        <f>DEC2HEX(O262,3)</f>
        <v>01E</v>
      </c>
      <c r="N262" s="16" t="str">
        <f>_xlfn.CONCAT(G262," ",H262," ",I262," ",J262," ",K262," ",L262," ",M262)</f>
        <v>GL 07 00 01 B7 0 01E</v>
      </c>
      <c r="O262" s="14">
        <v>30</v>
      </c>
      <c r="P262" s="11" t="s">
        <v>6</v>
      </c>
    </row>
    <row r="263" spans="1:16" s="12" customFormat="1" ht="15.75">
      <c r="A263" s="26" t="s">
        <v>347</v>
      </c>
      <c r="B263" s="14" t="s">
        <v>348</v>
      </c>
      <c r="C263" s="14">
        <v>94</v>
      </c>
      <c r="D263" s="15" t="s">
        <v>609</v>
      </c>
      <c r="E263" s="15" t="s">
        <v>601</v>
      </c>
      <c r="F263" s="16" t="s">
        <v>351</v>
      </c>
      <c r="G263" s="16" t="s">
        <v>330</v>
      </c>
      <c r="H263" s="16" t="str">
        <f>""&amp;MID(A263,4,2)</f>
        <v>07</v>
      </c>
      <c r="I263" s="17" t="s">
        <v>319</v>
      </c>
      <c r="J263" s="17" t="s">
        <v>331</v>
      </c>
      <c r="K263" s="18" t="s">
        <v>517</v>
      </c>
      <c r="L263" s="19">
        <v>0</v>
      </c>
      <c r="M263" s="16" t="str">
        <f>DEC2HEX(O263,3)</f>
        <v>01F</v>
      </c>
      <c r="N263" s="16" t="str">
        <f>_xlfn.CONCAT(G263," ",H263," ",I263," ",J263," ",K263," ",L263," ",M263)</f>
        <v>GL 07 00 01 B7 0 01F</v>
      </c>
      <c r="O263" s="14">
        <v>31</v>
      </c>
      <c r="P263" s="11" t="s">
        <v>6</v>
      </c>
    </row>
    <row r="264" spans="1:16" s="12" customFormat="1" ht="15.75">
      <c r="A264" s="26" t="s">
        <v>347</v>
      </c>
      <c r="B264" s="14" t="s">
        <v>348</v>
      </c>
      <c r="C264" s="14">
        <v>95</v>
      </c>
      <c r="D264" s="15" t="s">
        <v>610</v>
      </c>
      <c r="E264" s="15" t="s">
        <v>602</v>
      </c>
      <c r="F264" s="16" t="s">
        <v>351</v>
      </c>
      <c r="G264" s="16" t="s">
        <v>330</v>
      </c>
      <c r="H264" s="16" t="str">
        <f>""&amp;MID(A264,4,2)</f>
        <v>07</v>
      </c>
      <c r="I264" s="17" t="s">
        <v>319</v>
      </c>
      <c r="J264" s="17" t="s">
        <v>331</v>
      </c>
      <c r="K264" s="18" t="s">
        <v>517</v>
      </c>
      <c r="L264" s="19">
        <v>0</v>
      </c>
      <c r="M264" s="16" t="str">
        <f>DEC2HEX(O264,3)</f>
        <v>020</v>
      </c>
      <c r="N264" s="16" t="str">
        <f>_xlfn.CONCAT(G264," ",H264," ",I264," ",J264," ",K264," ",L264," ",M264)</f>
        <v>GL 07 00 01 B7 0 020</v>
      </c>
      <c r="O264" s="14">
        <v>32</v>
      </c>
      <c r="P264" s="11" t="s">
        <v>6</v>
      </c>
    </row>
    <row r="265" spans="1:16" s="12" customFormat="1" ht="15.75">
      <c r="A265" s="26" t="s">
        <v>347</v>
      </c>
      <c r="B265" s="14" t="s">
        <v>348</v>
      </c>
      <c r="C265" s="14">
        <v>96</v>
      </c>
      <c r="D265" s="15" t="s">
        <v>613</v>
      </c>
      <c r="E265" s="15" t="s">
        <v>591</v>
      </c>
      <c r="F265" s="16" t="s">
        <v>351</v>
      </c>
      <c r="G265" s="16" t="s">
        <v>330</v>
      </c>
      <c r="H265" s="16" t="str">
        <f>""&amp;MID(A265,4,2)</f>
        <v>07</v>
      </c>
      <c r="I265" s="17" t="s">
        <v>319</v>
      </c>
      <c r="J265" s="17" t="s">
        <v>331</v>
      </c>
      <c r="K265" s="18" t="s">
        <v>517</v>
      </c>
      <c r="L265" s="19">
        <v>0</v>
      </c>
      <c r="M265" s="16" t="str">
        <f>DEC2HEX(O265,3)</f>
        <v>021</v>
      </c>
      <c r="N265" s="16" t="str">
        <f>_xlfn.CONCAT(G265," ",H265," ",I265," ",J265," ",K265," ",L265," ",M265)</f>
        <v>GL 07 00 01 B7 0 021</v>
      </c>
      <c r="O265" s="14">
        <v>33</v>
      </c>
      <c r="P265" s="11" t="s">
        <v>6</v>
      </c>
    </row>
    <row r="266" spans="1:16" s="12" customFormat="1" ht="15.75">
      <c r="A266" s="26" t="s">
        <v>347</v>
      </c>
      <c r="B266" s="14" t="s">
        <v>348</v>
      </c>
      <c r="C266" s="14">
        <v>97</v>
      </c>
      <c r="D266" s="15" t="s">
        <v>614</v>
      </c>
      <c r="E266" s="15" t="s">
        <v>592</v>
      </c>
      <c r="F266" s="16" t="s">
        <v>351</v>
      </c>
      <c r="G266" s="16" t="s">
        <v>330</v>
      </c>
      <c r="H266" s="16" t="str">
        <f>""&amp;MID(A266,4,2)</f>
        <v>07</v>
      </c>
      <c r="I266" s="17" t="s">
        <v>319</v>
      </c>
      <c r="J266" s="17" t="s">
        <v>331</v>
      </c>
      <c r="K266" s="18" t="s">
        <v>517</v>
      </c>
      <c r="L266" s="19">
        <v>0</v>
      </c>
      <c r="M266" s="16" t="str">
        <f>DEC2HEX(O266,3)</f>
        <v>022</v>
      </c>
      <c r="N266" s="16" t="str">
        <f>_xlfn.CONCAT(G266," ",H266," ",I266," ",J266," ",K266," ",L266," ",M266)</f>
        <v>GL 07 00 01 B7 0 022</v>
      </c>
      <c r="O266" s="14">
        <v>34</v>
      </c>
      <c r="P266" s="11" t="s">
        <v>6</v>
      </c>
    </row>
    <row r="267" spans="1:16" s="12" customFormat="1" ht="15.75">
      <c r="A267" s="26" t="s">
        <v>347</v>
      </c>
      <c r="B267" s="14" t="s">
        <v>348</v>
      </c>
      <c r="C267" s="14">
        <v>98</v>
      </c>
      <c r="D267" s="15" t="s">
        <v>615</v>
      </c>
      <c r="E267" s="15" t="s">
        <v>593</v>
      </c>
      <c r="F267" s="16" t="s">
        <v>351</v>
      </c>
      <c r="G267" s="16" t="s">
        <v>330</v>
      </c>
      <c r="H267" s="16" t="str">
        <f>""&amp;MID(A267,4,2)</f>
        <v>07</v>
      </c>
      <c r="I267" s="17" t="s">
        <v>319</v>
      </c>
      <c r="J267" s="17" t="s">
        <v>331</v>
      </c>
      <c r="K267" s="18" t="s">
        <v>517</v>
      </c>
      <c r="L267" s="19">
        <v>0</v>
      </c>
      <c r="M267" s="16" t="str">
        <f>DEC2HEX(O267,3)</f>
        <v>023</v>
      </c>
      <c r="N267" s="16" t="str">
        <f>_xlfn.CONCAT(G267," ",H267," ",I267," ",J267," ",K267," ",L267," ",M267)</f>
        <v>GL 07 00 01 B7 0 023</v>
      </c>
      <c r="O267" s="14">
        <v>35</v>
      </c>
      <c r="P267" s="11" t="s">
        <v>6</v>
      </c>
    </row>
    <row r="268" spans="1:16" s="12" customFormat="1" ht="15.75">
      <c r="A268" s="26" t="s">
        <v>347</v>
      </c>
      <c r="B268" s="14" t="s">
        <v>348</v>
      </c>
      <c r="C268" s="14">
        <v>99</v>
      </c>
      <c r="D268" s="15" t="s">
        <v>616</v>
      </c>
      <c r="E268" s="15" t="s">
        <v>594</v>
      </c>
      <c r="F268" s="16" t="s">
        <v>351</v>
      </c>
      <c r="G268" s="16" t="s">
        <v>330</v>
      </c>
      <c r="H268" s="16" t="str">
        <f>""&amp;MID(A268,4,2)</f>
        <v>07</v>
      </c>
      <c r="I268" s="17" t="s">
        <v>319</v>
      </c>
      <c r="J268" s="17" t="s">
        <v>331</v>
      </c>
      <c r="K268" s="18" t="s">
        <v>517</v>
      </c>
      <c r="L268" s="19">
        <v>0</v>
      </c>
      <c r="M268" s="16" t="str">
        <f>DEC2HEX(O268,3)</f>
        <v>024</v>
      </c>
      <c r="N268" s="16" t="str">
        <f>_xlfn.CONCAT(G268," ",H268," ",I268," ",J268," ",K268," ",L268," ",M268)</f>
        <v>GL 07 00 01 B7 0 024</v>
      </c>
      <c r="O268" s="14">
        <v>36</v>
      </c>
      <c r="P268" s="11" t="s">
        <v>6</v>
      </c>
    </row>
    <row r="269" spans="1:16" s="12" customFormat="1" ht="15.75">
      <c r="A269" s="26" t="s">
        <v>347</v>
      </c>
      <c r="B269" s="14" t="s">
        <v>348</v>
      </c>
      <c r="C269" s="14">
        <v>100</v>
      </c>
      <c r="D269" s="15" t="s">
        <v>617</v>
      </c>
      <c r="E269" s="15" t="s">
        <v>595</v>
      </c>
      <c r="F269" s="16" t="s">
        <v>351</v>
      </c>
      <c r="G269" s="16" t="s">
        <v>330</v>
      </c>
      <c r="H269" s="16" t="str">
        <f>""&amp;MID(A269,4,2)</f>
        <v>07</v>
      </c>
      <c r="I269" s="17" t="s">
        <v>319</v>
      </c>
      <c r="J269" s="17" t="s">
        <v>331</v>
      </c>
      <c r="K269" s="18" t="s">
        <v>517</v>
      </c>
      <c r="L269" s="19">
        <v>0</v>
      </c>
      <c r="M269" s="16" t="str">
        <f>DEC2HEX(O269,3)</f>
        <v>025</v>
      </c>
      <c r="N269" s="16" t="str">
        <f>_xlfn.CONCAT(G269," ",H269," ",I269," ",J269," ",K269," ",L269," ",M269)</f>
        <v>GL 07 00 01 B7 0 025</v>
      </c>
      <c r="O269" s="14">
        <v>37</v>
      </c>
      <c r="P269" s="11" t="s">
        <v>6</v>
      </c>
    </row>
    <row r="270" spans="1:16" s="12" customFormat="1" ht="15.75">
      <c r="A270" s="26" t="s">
        <v>347</v>
      </c>
      <c r="B270" s="14" t="s">
        <v>348</v>
      </c>
      <c r="C270" s="14">
        <v>101</v>
      </c>
      <c r="D270" s="15" t="s">
        <v>618</v>
      </c>
      <c r="E270" s="15" t="s">
        <v>596</v>
      </c>
      <c r="F270" s="16" t="s">
        <v>351</v>
      </c>
      <c r="G270" s="16" t="s">
        <v>330</v>
      </c>
      <c r="H270" s="16" t="str">
        <f>""&amp;MID(A270,4,2)</f>
        <v>07</v>
      </c>
      <c r="I270" s="17" t="s">
        <v>319</v>
      </c>
      <c r="J270" s="17" t="s">
        <v>331</v>
      </c>
      <c r="K270" s="18" t="s">
        <v>517</v>
      </c>
      <c r="L270" s="19">
        <v>0</v>
      </c>
      <c r="M270" s="16" t="str">
        <f>DEC2HEX(O270,3)</f>
        <v>026</v>
      </c>
      <c r="N270" s="16" t="str">
        <f>_xlfn.CONCAT(G270," ",H270," ",I270," ",J270," ",K270," ",L270," ",M270)</f>
        <v>GL 07 00 01 B7 0 026</v>
      </c>
      <c r="O270" s="14">
        <v>38</v>
      </c>
      <c r="P270" s="11" t="s">
        <v>6</v>
      </c>
    </row>
    <row r="271" spans="1:16" s="12" customFormat="1" ht="15.75">
      <c r="A271" s="26" t="s">
        <v>347</v>
      </c>
      <c r="B271" s="14" t="s">
        <v>348</v>
      </c>
      <c r="C271" s="14">
        <v>102</v>
      </c>
      <c r="D271" s="15" t="s">
        <v>605</v>
      </c>
      <c r="E271" s="15" t="s">
        <v>619</v>
      </c>
      <c r="F271" s="16" t="s">
        <v>351</v>
      </c>
      <c r="G271" s="16" t="s">
        <v>330</v>
      </c>
      <c r="H271" s="16" t="str">
        <f>""&amp;MID(A271,4,2)</f>
        <v>07</v>
      </c>
      <c r="I271" s="17" t="s">
        <v>319</v>
      </c>
      <c r="J271" s="17" t="s">
        <v>420</v>
      </c>
      <c r="K271" s="18" t="s">
        <v>517</v>
      </c>
      <c r="L271" s="19">
        <v>0</v>
      </c>
      <c r="M271" s="16" t="str">
        <f>DEC2HEX(O271,3)</f>
        <v>01B</v>
      </c>
      <c r="N271" s="16" t="str">
        <f>_xlfn.CONCAT(G271," ",H271," ",I271," ",J271," ",K271," ",L271," ",M271)</f>
        <v>GL 07 00 02 B7 0 01B</v>
      </c>
      <c r="O271" s="14">
        <v>27</v>
      </c>
      <c r="P271" s="11" t="s">
        <v>6</v>
      </c>
    </row>
    <row r="272" spans="1:16" s="12" customFormat="1" ht="15.75">
      <c r="A272" s="26" t="s">
        <v>347</v>
      </c>
      <c r="B272" s="14" t="s">
        <v>348</v>
      </c>
      <c r="C272" s="14">
        <v>103</v>
      </c>
      <c r="D272" s="15" t="s">
        <v>606</v>
      </c>
      <c r="E272" s="15" t="s">
        <v>620</v>
      </c>
      <c r="F272" s="16" t="s">
        <v>351</v>
      </c>
      <c r="G272" s="16" t="s">
        <v>330</v>
      </c>
      <c r="H272" s="16" t="str">
        <f>""&amp;MID(A272,4,2)</f>
        <v>07</v>
      </c>
      <c r="I272" s="17" t="s">
        <v>319</v>
      </c>
      <c r="J272" s="17" t="s">
        <v>420</v>
      </c>
      <c r="K272" s="18" t="s">
        <v>517</v>
      </c>
      <c r="L272" s="19">
        <v>0</v>
      </c>
      <c r="M272" s="16" t="str">
        <f>DEC2HEX(O272,3)</f>
        <v>01C</v>
      </c>
      <c r="N272" s="16" t="str">
        <f>_xlfn.CONCAT(G272," ",H272," ",I272," ",J272," ",K272," ",L272," ",M272)</f>
        <v>GL 07 00 02 B7 0 01C</v>
      </c>
      <c r="O272" s="14">
        <v>28</v>
      </c>
      <c r="P272" s="11" t="s">
        <v>6</v>
      </c>
    </row>
    <row r="273" spans="1:16" s="12" customFormat="1" ht="15.75">
      <c r="A273" s="26" t="s">
        <v>347</v>
      </c>
      <c r="B273" s="14" t="s">
        <v>348</v>
      </c>
      <c r="C273" s="14">
        <v>104</v>
      </c>
      <c r="D273" s="15" t="s">
        <v>607</v>
      </c>
      <c r="E273" s="15" t="s">
        <v>621</v>
      </c>
      <c r="F273" s="16" t="s">
        <v>351</v>
      </c>
      <c r="G273" s="16" t="s">
        <v>330</v>
      </c>
      <c r="H273" s="16" t="str">
        <f>""&amp;MID(A273,4,2)</f>
        <v>07</v>
      </c>
      <c r="I273" s="17" t="s">
        <v>319</v>
      </c>
      <c r="J273" s="17" t="s">
        <v>420</v>
      </c>
      <c r="K273" s="18" t="s">
        <v>517</v>
      </c>
      <c r="L273" s="19">
        <v>0</v>
      </c>
      <c r="M273" s="16" t="str">
        <f>DEC2HEX(O273,3)</f>
        <v>01D</v>
      </c>
      <c r="N273" s="16" t="str">
        <f>_xlfn.CONCAT(G273," ",H273," ",I273," ",J273," ",K273," ",L273," ",M273)</f>
        <v>GL 07 00 02 B7 0 01D</v>
      </c>
      <c r="O273" s="14">
        <v>29</v>
      </c>
      <c r="P273" s="11" t="s">
        <v>6</v>
      </c>
    </row>
    <row r="274" spans="1:16" s="12" customFormat="1" ht="15.75">
      <c r="A274" s="26" t="s">
        <v>347</v>
      </c>
      <c r="B274" s="14" t="s">
        <v>348</v>
      </c>
      <c r="C274" s="14">
        <v>105</v>
      </c>
      <c r="D274" s="15" t="s">
        <v>608</v>
      </c>
      <c r="E274" s="15" t="s">
        <v>622</v>
      </c>
      <c r="F274" s="16" t="s">
        <v>351</v>
      </c>
      <c r="G274" s="16" t="s">
        <v>330</v>
      </c>
      <c r="H274" s="16" t="str">
        <f>""&amp;MID(A274,4,2)</f>
        <v>07</v>
      </c>
      <c r="I274" s="17" t="s">
        <v>319</v>
      </c>
      <c r="J274" s="17" t="s">
        <v>420</v>
      </c>
      <c r="K274" s="18" t="s">
        <v>517</v>
      </c>
      <c r="L274" s="19">
        <v>0</v>
      </c>
      <c r="M274" s="16" t="str">
        <f>DEC2HEX(O274,3)</f>
        <v>01E</v>
      </c>
      <c r="N274" s="16" t="str">
        <f>_xlfn.CONCAT(G274," ",H274," ",I274," ",J274," ",K274," ",L274," ",M274)</f>
        <v>GL 07 00 02 B7 0 01E</v>
      </c>
      <c r="O274" s="14">
        <v>30</v>
      </c>
      <c r="P274" s="11" t="s">
        <v>6</v>
      </c>
    </row>
    <row r="275" spans="1:16" s="12" customFormat="1" ht="15.75">
      <c r="A275" s="26" t="s">
        <v>347</v>
      </c>
      <c r="B275" s="14" t="s">
        <v>348</v>
      </c>
      <c r="C275" s="14">
        <v>106</v>
      </c>
      <c r="D275" s="15" t="s">
        <v>609</v>
      </c>
      <c r="E275" s="15" t="s">
        <v>623</v>
      </c>
      <c r="F275" s="16" t="s">
        <v>351</v>
      </c>
      <c r="G275" s="16" t="s">
        <v>330</v>
      </c>
      <c r="H275" s="16" t="str">
        <f>""&amp;MID(A275,4,2)</f>
        <v>07</v>
      </c>
      <c r="I275" s="17" t="s">
        <v>319</v>
      </c>
      <c r="J275" s="17" t="s">
        <v>420</v>
      </c>
      <c r="K275" s="18" t="s">
        <v>517</v>
      </c>
      <c r="L275" s="19">
        <v>0</v>
      </c>
      <c r="M275" s="16" t="str">
        <f>DEC2HEX(O275,3)</f>
        <v>01F</v>
      </c>
      <c r="N275" s="16" t="str">
        <f>_xlfn.CONCAT(G275," ",H275," ",I275," ",J275," ",K275," ",L275," ",M275)</f>
        <v>GL 07 00 02 B7 0 01F</v>
      </c>
      <c r="O275" s="14">
        <v>31</v>
      </c>
      <c r="P275" s="11" t="s">
        <v>6</v>
      </c>
    </row>
    <row r="276" spans="1:16" s="12" customFormat="1" ht="15.75">
      <c r="A276" s="26" t="s">
        <v>347</v>
      </c>
      <c r="B276" s="14" t="s">
        <v>348</v>
      </c>
      <c r="C276" s="14">
        <v>107</v>
      </c>
      <c r="D276" s="15" t="s">
        <v>610</v>
      </c>
      <c r="E276" s="15" t="s">
        <v>624</v>
      </c>
      <c r="F276" s="16" t="s">
        <v>351</v>
      </c>
      <c r="G276" s="16" t="s">
        <v>330</v>
      </c>
      <c r="H276" s="16" t="str">
        <f>""&amp;MID(A276,4,2)</f>
        <v>07</v>
      </c>
      <c r="I276" s="17" t="s">
        <v>319</v>
      </c>
      <c r="J276" s="17" t="s">
        <v>420</v>
      </c>
      <c r="K276" s="18" t="s">
        <v>517</v>
      </c>
      <c r="L276" s="19">
        <v>0</v>
      </c>
      <c r="M276" s="16" t="str">
        <f>DEC2HEX(O276,3)</f>
        <v>020</v>
      </c>
      <c r="N276" s="16" t="str">
        <f>_xlfn.CONCAT(G276," ",H276," ",I276," ",J276," ",K276," ",L276," ",M276)</f>
        <v>GL 07 00 02 B7 0 020</v>
      </c>
      <c r="O276" s="14">
        <v>32</v>
      </c>
      <c r="P276" s="11" t="s">
        <v>6</v>
      </c>
    </row>
    <row r="277" spans="1:16" s="12" customFormat="1" ht="15.75">
      <c r="A277" s="26" t="s">
        <v>347</v>
      </c>
      <c r="B277" s="14" t="s">
        <v>348</v>
      </c>
      <c r="C277" s="14">
        <v>108</v>
      </c>
      <c r="D277" s="15" t="s">
        <v>613</v>
      </c>
      <c r="E277" s="15" t="s">
        <v>625</v>
      </c>
      <c r="F277" s="16" t="s">
        <v>351</v>
      </c>
      <c r="G277" s="16" t="s">
        <v>330</v>
      </c>
      <c r="H277" s="16" t="str">
        <f>""&amp;MID(A277,4,2)</f>
        <v>07</v>
      </c>
      <c r="I277" s="17" t="s">
        <v>319</v>
      </c>
      <c r="J277" s="17" t="s">
        <v>420</v>
      </c>
      <c r="K277" s="18" t="s">
        <v>517</v>
      </c>
      <c r="L277" s="19">
        <v>0</v>
      </c>
      <c r="M277" s="16" t="str">
        <f>DEC2HEX(O277,3)</f>
        <v>021</v>
      </c>
      <c r="N277" s="16" t="str">
        <f>_xlfn.CONCAT(G277," ",H277," ",I277," ",J277," ",K277," ",L277," ",M277)</f>
        <v>GL 07 00 02 B7 0 021</v>
      </c>
      <c r="O277" s="14">
        <v>33</v>
      </c>
      <c r="P277" s="11" t="s">
        <v>6</v>
      </c>
    </row>
    <row r="278" spans="1:16" s="12" customFormat="1" ht="15.75">
      <c r="A278" s="26" t="s">
        <v>347</v>
      </c>
      <c r="B278" s="14" t="s">
        <v>348</v>
      </c>
      <c r="C278" s="14">
        <v>109</v>
      </c>
      <c r="D278" s="15" t="s">
        <v>614</v>
      </c>
      <c r="E278" s="15" t="s">
        <v>626</v>
      </c>
      <c r="F278" s="16" t="s">
        <v>351</v>
      </c>
      <c r="G278" s="16" t="s">
        <v>330</v>
      </c>
      <c r="H278" s="16" t="str">
        <f>""&amp;MID(A278,4,2)</f>
        <v>07</v>
      </c>
      <c r="I278" s="17" t="s">
        <v>319</v>
      </c>
      <c r="J278" s="17" t="s">
        <v>420</v>
      </c>
      <c r="K278" s="18" t="s">
        <v>517</v>
      </c>
      <c r="L278" s="19">
        <v>0</v>
      </c>
      <c r="M278" s="16" t="str">
        <f>DEC2HEX(O278,3)</f>
        <v>022</v>
      </c>
      <c r="N278" s="16" t="str">
        <f>_xlfn.CONCAT(G278," ",H278," ",I278," ",J278," ",K278," ",L278," ",M278)</f>
        <v>GL 07 00 02 B7 0 022</v>
      </c>
      <c r="O278" s="14">
        <v>34</v>
      </c>
      <c r="P278" s="11" t="s">
        <v>6</v>
      </c>
    </row>
    <row r="279" spans="1:16" s="12" customFormat="1" ht="15.75">
      <c r="A279" s="26" t="s">
        <v>347</v>
      </c>
      <c r="B279" s="14" t="s">
        <v>348</v>
      </c>
      <c r="C279" s="14">
        <v>110</v>
      </c>
      <c r="D279" s="15" t="s">
        <v>615</v>
      </c>
      <c r="E279" s="15" t="s">
        <v>627</v>
      </c>
      <c r="F279" s="16" t="s">
        <v>351</v>
      </c>
      <c r="G279" s="16" t="s">
        <v>330</v>
      </c>
      <c r="H279" s="16" t="str">
        <f>""&amp;MID(A279,4,2)</f>
        <v>07</v>
      </c>
      <c r="I279" s="17" t="s">
        <v>319</v>
      </c>
      <c r="J279" s="17" t="s">
        <v>420</v>
      </c>
      <c r="K279" s="18" t="s">
        <v>517</v>
      </c>
      <c r="L279" s="19">
        <v>0</v>
      </c>
      <c r="M279" s="16" t="str">
        <f>DEC2HEX(O279,3)</f>
        <v>023</v>
      </c>
      <c r="N279" s="16" t="str">
        <f>_xlfn.CONCAT(G279," ",H279," ",I279," ",J279," ",K279," ",L279," ",M279)</f>
        <v>GL 07 00 02 B7 0 023</v>
      </c>
      <c r="O279" s="14">
        <v>35</v>
      </c>
      <c r="P279" s="11" t="s">
        <v>6</v>
      </c>
    </row>
    <row r="280" spans="1:16" s="12" customFormat="1" ht="15.75">
      <c r="A280" s="26" t="s">
        <v>347</v>
      </c>
      <c r="B280" s="14" t="s">
        <v>348</v>
      </c>
      <c r="C280" s="14">
        <v>111</v>
      </c>
      <c r="D280" s="15" t="s">
        <v>616</v>
      </c>
      <c r="E280" s="15" t="s">
        <v>628</v>
      </c>
      <c r="F280" s="16" t="s">
        <v>351</v>
      </c>
      <c r="G280" s="16" t="s">
        <v>330</v>
      </c>
      <c r="H280" s="16" t="str">
        <f>""&amp;MID(A280,4,2)</f>
        <v>07</v>
      </c>
      <c r="I280" s="17" t="s">
        <v>319</v>
      </c>
      <c r="J280" s="17" t="s">
        <v>420</v>
      </c>
      <c r="K280" s="18" t="s">
        <v>517</v>
      </c>
      <c r="L280" s="19">
        <v>0</v>
      </c>
      <c r="M280" s="16" t="str">
        <f>DEC2HEX(O280,3)</f>
        <v>024</v>
      </c>
      <c r="N280" s="16" t="str">
        <f>_xlfn.CONCAT(G280," ",H280," ",I280," ",J280," ",K280," ",L280," ",M280)</f>
        <v>GL 07 00 02 B7 0 024</v>
      </c>
      <c r="O280" s="14">
        <v>36</v>
      </c>
      <c r="P280" s="11" t="s">
        <v>6</v>
      </c>
    </row>
    <row r="281" spans="1:16" s="12" customFormat="1" ht="15.75">
      <c r="A281" s="26" t="s">
        <v>347</v>
      </c>
      <c r="B281" s="14" t="s">
        <v>348</v>
      </c>
      <c r="C281" s="14">
        <v>112</v>
      </c>
      <c r="D281" s="15" t="s">
        <v>617</v>
      </c>
      <c r="E281" s="15" t="s">
        <v>629</v>
      </c>
      <c r="F281" s="16" t="s">
        <v>351</v>
      </c>
      <c r="G281" s="16" t="s">
        <v>330</v>
      </c>
      <c r="H281" s="16" t="str">
        <f>""&amp;MID(A281,4,2)</f>
        <v>07</v>
      </c>
      <c r="I281" s="17" t="s">
        <v>319</v>
      </c>
      <c r="J281" s="17" t="s">
        <v>420</v>
      </c>
      <c r="K281" s="18" t="s">
        <v>517</v>
      </c>
      <c r="L281" s="19">
        <v>0</v>
      </c>
      <c r="M281" s="16" t="str">
        <f>DEC2HEX(O281,3)</f>
        <v>025</v>
      </c>
      <c r="N281" s="16" t="str">
        <f>_xlfn.CONCAT(G281," ",H281," ",I281," ",J281," ",K281," ",L281," ",M281)</f>
        <v>GL 07 00 02 B7 0 025</v>
      </c>
      <c r="O281" s="14">
        <v>37</v>
      </c>
      <c r="P281" s="11" t="s">
        <v>6</v>
      </c>
    </row>
    <row r="282" spans="1:16" s="12" customFormat="1" ht="15.75">
      <c r="A282" s="26" t="s">
        <v>347</v>
      </c>
      <c r="B282" s="14" t="s">
        <v>348</v>
      </c>
      <c r="C282" s="14">
        <v>113</v>
      </c>
      <c r="D282" s="15" t="s">
        <v>618</v>
      </c>
      <c r="E282" s="15" t="s">
        <v>630</v>
      </c>
      <c r="F282" s="16" t="s">
        <v>351</v>
      </c>
      <c r="G282" s="16" t="s">
        <v>330</v>
      </c>
      <c r="H282" s="16" t="str">
        <f>""&amp;MID(A282,4,2)</f>
        <v>07</v>
      </c>
      <c r="I282" s="17" t="s">
        <v>319</v>
      </c>
      <c r="J282" s="17" t="s">
        <v>420</v>
      </c>
      <c r="K282" s="18" t="s">
        <v>517</v>
      </c>
      <c r="L282" s="19">
        <v>0</v>
      </c>
      <c r="M282" s="16" t="str">
        <f>DEC2HEX(O282,3)</f>
        <v>026</v>
      </c>
      <c r="N282" s="16" t="str">
        <f>_xlfn.CONCAT(G282," ",H282," ",I282," ",J282," ",K282," ",L282," ",M282)</f>
        <v>GL 07 00 02 B7 0 026</v>
      </c>
      <c r="O282" s="14">
        <v>38</v>
      </c>
      <c r="P282" s="11" t="s">
        <v>6</v>
      </c>
    </row>
    <row r="283" spans="1:16" s="12" customFormat="1" ht="15.75">
      <c r="A283" s="26" t="s">
        <v>347</v>
      </c>
      <c r="B283" s="14" t="s">
        <v>348</v>
      </c>
      <c r="C283" s="14">
        <v>114</v>
      </c>
      <c r="D283" s="15" t="s">
        <v>605</v>
      </c>
      <c r="E283" s="15" t="s">
        <v>631</v>
      </c>
      <c r="F283" s="16" t="s">
        <v>351</v>
      </c>
      <c r="G283" s="16" t="s">
        <v>330</v>
      </c>
      <c r="H283" s="16" t="str">
        <f>""&amp;MID(A283,4,2)</f>
        <v>07</v>
      </c>
      <c r="I283" s="17" t="s">
        <v>319</v>
      </c>
      <c r="J283" s="17" t="s">
        <v>443</v>
      </c>
      <c r="K283" s="18" t="s">
        <v>517</v>
      </c>
      <c r="L283" s="19">
        <v>0</v>
      </c>
      <c r="M283" s="16" t="str">
        <f>DEC2HEX(O283,3)</f>
        <v>01B</v>
      </c>
      <c r="N283" s="16" t="str">
        <f>_xlfn.CONCAT(G283," ",H283," ",I283," ",J283," ",K283," ",L283," ",M283)</f>
        <v>GL 07 00 03 B7 0 01B</v>
      </c>
      <c r="O283" s="14">
        <v>27</v>
      </c>
      <c r="P283" s="11" t="s">
        <v>6</v>
      </c>
    </row>
    <row r="284" spans="1:16" s="12" customFormat="1" ht="15.75">
      <c r="A284" s="26" t="s">
        <v>347</v>
      </c>
      <c r="B284" s="14" t="s">
        <v>348</v>
      </c>
      <c r="C284" s="14">
        <v>115</v>
      </c>
      <c r="D284" s="15" t="s">
        <v>606</v>
      </c>
      <c r="E284" s="15" t="s">
        <v>632</v>
      </c>
      <c r="F284" s="16" t="s">
        <v>351</v>
      </c>
      <c r="G284" s="16" t="s">
        <v>330</v>
      </c>
      <c r="H284" s="16" t="str">
        <f>""&amp;MID(A284,4,2)</f>
        <v>07</v>
      </c>
      <c r="I284" s="17" t="s">
        <v>319</v>
      </c>
      <c r="J284" s="17" t="s">
        <v>443</v>
      </c>
      <c r="K284" s="18" t="s">
        <v>517</v>
      </c>
      <c r="L284" s="19">
        <v>0</v>
      </c>
      <c r="M284" s="16" t="str">
        <f>DEC2HEX(O284,3)</f>
        <v>01C</v>
      </c>
      <c r="N284" s="16" t="str">
        <f>_xlfn.CONCAT(G284," ",H284," ",I284," ",J284," ",K284," ",L284," ",M284)</f>
        <v>GL 07 00 03 B7 0 01C</v>
      </c>
      <c r="O284" s="14">
        <v>28</v>
      </c>
      <c r="P284" s="11" t="s">
        <v>6</v>
      </c>
    </row>
    <row r="285" spans="1:16" s="12" customFormat="1" ht="15.75">
      <c r="A285" s="26" t="s">
        <v>347</v>
      </c>
      <c r="B285" s="14" t="s">
        <v>348</v>
      </c>
      <c r="C285" s="14">
        <v>116</v>
      </c>
      <c r="D285" s="15" t="s">
        <v>607</v>
      </c>
      <c r="E285" s="15" t="s">
        <v>633</v>
      </c>
      <c r="F285" s="16" t="s">
        <v>351</v>
      </c>
      <c r="G285" s="16" t="s">
        <v>330</v>
      </c>
      <c r="H285" s="16" t="str">
        <f>""&amp;MID(A285,4,2)</f>
        <v>07</v>
      </c>
      <c r="I285" s="17" t="s">
        <v>319</v>
      </c>
      <c r="J285" s="17" t="s">
        <v>443</v>
      </c>
      <c r="K285" s="18" t="s">
        <v>517</v>
      </c>
      <c r="L285" s="19">
        <v>0</v>
      </c>
      <c r="M285" s="16" t="str">
        <f>DEC2HEX(O285,3)</f>
        <v>01D</v>
      </c>
      <c r="N285" s="16" t="str">
        <f>_xlfn.CONCAT(G285," ",H285," ",I285," ",J285," ",K285," ",L285," ",M285)</f>
        <v>GL 07 00 03 B7 0 01D</v>
      </c>
      <c r="O285" s="14">
        <v>29</v>
      </c>
      <c r="P285" s="11" t="s">
        <v>6</v>
      </c>
    </row>
    <row r="286" spans="1:16" s="12" customFormat="1" ht="15.75">
      <c r="A286" s="26" t="s">
        <v>347</v>
      </c>
      <c r="B286" s="14" t="s">
        <v>348</v>
      </c>
      <c r="C286" s="14">
        <v>117</v>
      </c>
      <c r="D286" s="15" t="s">
        <v>608</v>
      </c>
      <c r="E286" s="15" t="s">
        <v>634</v>
      </c>
      <c r="F286" s="16" t="s">
        <v>351</v>
      </c>
      <c r="G286" s="16" t="s">
        <v>330</v>
      </c>
      <c r="H286" s="16" t="str">
        <f>""&amp;MID(A286,4,2)</f>
        <v>07</v>
      </c>
      <c r="I286" s="17" t="s">
        <v>319</v>
      </c>
      <c r="J286" s="17" t="s">
        <v>443</v>
      </c>
      <c r="K286" s="18" t="s">
        <v>517</v>
      </c>
      <c r="L286" s="19">
        <v>0</v>
      </c>
      <c r="M286" s="16" t="str">
        <f>DEC2HEX(O286,3)</f>
        <v>01E</v>
      </c>
      <c r="N286" s="16" t="str">
        <f>_xlfn.CONCAT(G286," ",H286," ",I286," ",J286," ",K286," ",L286," ",M286)</f>
        <v>GL 07 00 03 B7 0 01E</v>
      </c>
      <c r="O286" s="14">
        <v>30</v>
      </c>
      <c r="P286" s="11" t="s">
        <v>6</v>
      </c>
    </row>
    <row r="287" spans="1:16" s="12" customFormat="1" ht="15.75">
      <c r="A287" s="26" t="s">
        <v>347</v>
      </c>
      <c r="B287" s="14" t="s">
        <v>348</v>
      </c>
      <c r="C287" s="14">
        <v>118</v>
      </c>
      <c r="D287" s="15" t="s">
        <v>609</v>
      </c>
      <c r="E287" s="15" t="s">
        <v>635</v>
      </c>
      <c r="F287" s="16" t="s">
        <v>351</v>
      </c>
      <c r="G287" s="16" t="s">
        <v>330</v>
      </c>
      <c r="H287" s="16" t="str">
        <f>""&amp;MID(A287,4,2)</f>
        <v>07</v>
      </c>
      <c r="I287" s="17" t="s">
        <v>319</v>
      </c>
      <c r="J287" s="17" t="s">
        <v>443</v>
      </c>
      <c r="K287" s="18" t="s">
        <v>517</v>
      </c>
      <c r="L287" s="19">
        <v>0</v>
      </c>
      <c r="M287" s="16" t="str">
        <f>DEC2HEX(O287,3)</f>
        <v>01F</v>
      </c>
      <c r="N287" s="16" t="str">
        <f>_xlfn.CONCAT(G287," ",H287," ",I287," ",J287," ",K287," ",L287," ",M287)</f>
        <v>GL 07 00 03 B7 0 01F</v>
      </c>
      <c r="O287" s="14">
        <v>31</v>
      </c>
      <c r="P287" s="11" t="s">
        <v>6</v>
      </c>
    </row>
    <row r="288" spans="1:16" s="12" customFormat="1" ht="15.75">
      <c r="A288" s="26" t="s">
        <v>347</v>
      </c>
      <c r="B288" s="14" t="s">
        <v>348</v>
      </c>
      <c r="C288" s="14">
        <v>119</v>
      </c>
      <c r="D288" s="15" t="s">
        <v>610</v>
      </c>
      <c r="E288" s="15" t="s">
        <v>636</v>
      </c>
      <c r="F288" s="16" t="s">
        <v>351</v>
      </c>
      <c r="G288" s="16" t="s">
        <v>330</v>
      </c>
      <c r="H288" s="16" t="str">
        <f>""&amp;MID(A288,4,2)</f>
        <v>07</v>
      </c>
      <c r="I288" s="17" t="s">
        <v>319</v>
      </c>
      <c r="J288" s="17" t="s">
        <v>443</v>
      </c>
      <c r="K288" s="18" t="s">
        <v>517</v>
      </c>
      <c r="L288" s="19">
        <v>0</v>
      </c>
      <c r="M288" s="16" t="str">
        <f>DEC2HEX(O288,3)</f>
        <v>020</v>
      </c>
      <c r="N288" s="16" t="str">
        <f>_xlfn.CONCAT(G288," ",H288," ",I288," ",J288," ",K288," ",L288," ",M288)</f>
        <v>GL 07 00 03 B7 0 020</v>
      </c>
      <c r="O288" s="14">
        <v>32</v>
      </c>
      <c r="P288" s="11" t="s">
        <v>6</v>
      </c>
    </row>
    <row r="289" spans="1:16" s="12" customFormat="1" ht="15.75">
      <c r="A289" s="26" t="s">
        <v>347</v>
      </c>
      <c r="B289" s="14" t="s">
        <v>348</v>
      </c>
      <c r="C289" s="14">
        <v>120</v>
      </c>
      <c r="D289" s="15" t="s">
        <v>613</v>
      </c>
      <c r="E289" s="15" t="s">
        <v>637</v>
      </c>
      <c r="F289" s="16" t="s">
        <v>351</v>
      </c>
      <c r="G289" s="16" t="s">
        <v>330</v>
      </c>
      <c r="H289" s="16" t="str">
        <f>""&amp;MID(A289,4,2)</f>
        <v>07</v>
      </c>
      <c r="I289" s="17" t="s">
        <v>319</v>
      </c>
      <c r="J289" s="17" t="s">
        <v>443</v>
      </c>
      <c r="K289" s="18" t="s">
        <v>517</v>
      </c>
      <c r="L289" s="19">
        <v>0</v>
      </c>
      <c r="M289" s="16" t="str">
        <f>DEC2HEX(O289,3)</f>
        <v>021</v>
      </c>
      <c r="N289" s="16" t="str">
        <f>_xlfn.CONCAT(G289," ",H289," ",I289," ",J289," ",K289," ",L289," ",M289)</f>
        <v>GL 07 00 03 B7 0 021</v>
      </c>
      <c r="O289" s="14">
        <v>33</v>
      </c>
      <c r="P289" s="11" t="s">
        <v>6</v>
      </c>
    </row>
    <row r="290" spans="1:16" s="12" customFormat="1" ht="15.75">
      <c r="A290" s="26" t="s">
        <v>347</v>
      </c>
      <c r="B290" s="14" t="s">
        <v>348</v>
      </c>
      <c r="C290" s="14">
        <v>121</v>
      </c>
      <c r="D290" s="15" t="s">
        <v>614</v>
      </c>
      <c r="E290" s="15" t="s">
        <v>638</v>
      </c>
      <c r="F290" s="16" t="s">
        <v>351</v>
      </c>
      <c r="G290" s="16" t="s">
        <v>330</v>
      </c>
      <c r="H290" s="16" t="str">
        <f>""&amp;MID(A290,4,2)</f>
        <v>07</v>
      </c>
      <c r="I290" s="17" t="s">
        <v>319</v>
      </c>
      <c r="J290" s="17" t="s">
        <v>443</v>
      </c>
      <c r="K290" s="18" t="s">
        <v>517</v>
      </c>
      <c r="L290" s="19">
        <v>0</v>
      </c>
      <c r="M290" s="16" t="str">
        <f>DEC2HEX(O290,3)</f>
        <v>022</v>
      </c>
      <c r="N290" s="16" t="str">
        <f>_xlfn.CONCAT(G290," ",H290," ",I290," ",J290," ",K290," ",L290," ",M290)</f>
        <v>GL 07 00 03 B7 0 022</v>
      </c>
      <c r="O290" s="14">
        <v>34</v>
      </c>
      <c r="P290" s="11" t="s">
        <v>6</v>
      </c>
    </row>
    <row r="291" spans="1:16" s="12" customFormat="1" ht="15.75">
      <c r="A291" s="26" t="s">
        <v>347</v>
      </c>
      <c r="B291" s="14" t="s">
        <v>348</v>
      </c>
      <c r="C291" s="14">
        <v>122</v>
      </c>
      <c r="D291" s="15" t="s">
        <v>615</v>
      </c>
      <c r="E291" s="15" t="s">
        <v>639</v>
      </c>
      <c r="F291" s="16" t="s">
        <v>351</v>
      </c>
      <c r="G291" s="16" t="s">
        <v>330</v>
      </c>
      <c r="H291" s="16" t="str">
        <f>""&amp;MID(A291,4,2)</f>
        <v>07</v>
      </c>
      <c r="I291" s="17" t="s">
        <v>319</v>
      </c>
      <c r="J291" s="17" t="s">
        <v>443</v>
      </c>
      <c r="K291" s="18" t="s">
        <v>517</v>
      </c>
      <c r="L291" s="19">
        <v>0</v>
      </c>
      <c r="M291" s="16" t="str">
        <f>DEC2HEX(O291,3)</f>
        <v>023</v>
      </c>
      <c r="N291" s="16" t="str">
        <f>_xlfn.CONCAT(G291," ",H291," ",I291," ",J291," ",K291," ",L291," ",M291)</f>
        <v>GL 07 00 03 B7 0 023</v>
      </c>
      <c r="O291" s="14">
        <v>35</v>
      </c>
      <c r="P291" s="11" t="s">
        <v>6</v>
      </c>
    </row>
    <row r="292" spans="1:16" s="12" customFormat="1" ht="15.75">
      <c r="A292" s="26" t="s">
        <v>347</v>
      </c>
      <c r="B292" s="14" t="s">
        <v>348</v>
      </c>
      <c r="C292" s="14">
        <v>123</v>
      </c>
      <c r="D292" s="15" t="s">
        <v>616</v>
      </c>
      <c r="E292" s="15" t="s">
        <v>640</v>
      </c>
      <c r="F292" s="16" t="s">
        <v>351</v>
      </c>
      <c r="G292" s="16" t="s">
        <v>330</v>
      </c>
      <c r="H292" s="16" t="str">
        <f>""&amp;MID(A292,4,2)</f>
        <v>07</v>
      </c>
      <c r="I292" s="17" t="s">
        <v>319</v>
      </c>
      <c r="J292" s="17" t="s">
        <v>443</v>
      </c>
      <c r="K292" s="18" t="s">
        <v>517</v>
      </c>
      <c r="L292" s="19">
        <v>0</v>
      </c>
      <c r="M292" s="16" t="str">
        <f>DEC2HEX(O292,3)</f>
        <v>024</v>
      </c>
      <c r="N292" s="16" t="str">
        <f>_xlfn.CONCAT(G292," ",H292," ",I292," ",J292," ",K292," ",L292," ",M292)</f>
        <v>GL 07 00 03 B7 0 024</v>
      </c>
      <c r="O292" s="14">
        <v>36</v>
      </c>
      <c r="P292" s="11" t="s">
        <v>6</v>
      </c>
    </row>
    <row r="293" spans="1:16" s="12" customFormat="1" ht="15.75">
      <c r="A293" s="26" t="s">
        <v>347</v>
      </c>
      <c r="B293" s="14" t="s">
        <v>348</v>
      </c>
      <c r="C293" s="14">
        <v>124</v>
      </c>
      <c r="D293" s="15" t="s">
        <v>617</v>
      </c>
      <c r="E293" s="15" t="s">
        <v>641</v>
      </c>
      <c r="F293" s="16" t="s">
        <v>351</v>
      </c>
      <c r="G293" s="16" t="s">
        <v>330</v>
      </c>
      <c r="H293" s="16" t="str">
        <f>""&amp;MID(A293,4,2)</f>
        <v>07</v>
      </c>
      <c r="I293" s="17" t="s">
        <v>319</v>
      </c>
      <c r="J293" s="17" t="s">
        <v>443</v>
      </c>
      <c r="K293" s="18" t="s">
        <v>517</v>
      </c>
      <c r="L293" s="19">
        <v>0</v>
      </c>
      <c r="M293" s="16" t="str">
        <f>DEC2HEX(O293,3)</f>
        <v>025</v>
      </c>
      <c r="N293" s="16" t="str">
        <f>_xlfn.CONCAT(G293," ",H293," ",I293," ",J293," ",K293," ",L293," ",M293)</f>
        <v>GL 07 00 03 B7 0 025</v>
      </c>
      <c r="O293" s="14">
        <v>37</v>
      </c>
      <c r="P293" s="11" t="s">
        <v>6</v>
      </c>
    </row>
    <row r="294" spans="1:16" s="12" customFormat="1" ht="15.75">
      <c r="A294" s="26" t="s">
        <v>347</v>
      </c>
      <c r="B294" s="14" t="s">
        <v>348</v>
      </c>
      <c r="C294" s="14">
        <v>125</v>
      </c>
      <c r="D294" s="15" t="s">
        <v>618</v>
      </c>
      <c r="E294" s="15" t="s">
        <v>642</v>
      </c>
      <c r="F294" s="16" t="s">
        <v>351</v>
      </c>
      <c r="G294" s="16" t="s">
        <v>330</v>
      </c>
      <c r="H294" s="16" t="str">
        <f>""&amp;MID(A294,4,2)</f>
        <v>07</v>
      </c>
      <c r="I294" s="17" t="s">
        <v>319</v>
      </c>
      <c r="J294" s="17" t="s">
        <v>443</v>
      </c>
      <c r="K294" s="18" t="s">
        <v>517</v>
      </c>
      <c r="L294" s="19">
        <v>0</v>
      </c>
      <c r="M294" s="16" t="str">
        <f>DEC2HEX(O294,3)</f>
        <v>026</v>
      </c>
      <c r="N294" s="16" t="str">
        <f>_xlfn.CONCAT(G294," ",H294," ",I294," ",J294," ",K294," ",L294," ",M294)</f>
        <v>GL 07 00 03 B7 0 026</v>
      </c>
      <c r="O294" s="14">
        <v>38</v>
      </c>
      <c r="P294" s="11" t="s">
        <v>6</v>
      </c>
    </row>
    <row r="295" spans="1:16" s="12" customFormat="1" ht="15.75">
      <c r="A295" s="26" t="s">
        <v>347</v>
      </c>
      <c r="B295" s="14" t="s">
        <v>348</v>
      </c>
      <c r="C295" s="14">
        <v>126</v>
      </c>
      <c r="D295" s="22" t="s">
        <v>471</v>
      </c>
      <c r="E295" s="22" t="s">
        <v>498</v>
      </c>
      <c r="F295" s="16" t="s">
        <v>351</v>
      </c>
      <c r="G295" s="16" t="s">
        <v>330</v>
      </c>
      <c r="H295" s="16" t="str">
        <f>""&amp;MID(A295,4,2)</f>
        <v>07</v>
      </c>
      <c r="I295" s="17" t="s">
        <v>319</v>
      </c>
      <c r="J295" s="17" t="s">
        <v>331</v>
      </c>
      <c r="K295" s="18" t="s">
        <v>496</v>
      </c>
      <c r="L295" s="19">
        <v>0</v>
      </c>
      <c r="M295" s="16" t="str">
        <f>DEC2HEX(O295,3)</f>
        <v>007</v>
      </c>
      <c r="N295" s="16" t="str">
        <f>_xlfn.CONCAT(G295," ",H295," ",I295," ",J295," ",K295," ",L295," ",M295)</f>
        <v>GL 07 00 01 B4 0 007</v>
      </c>
      <c r="O295" s="14">
        <v>7</v>
      </c>
      <c r="P295" s="11" t="s">
        <v>497</v>
      </c>
    </row>
    <row r="296" spans="1:16" s="12" customFormat="1" ht="15.75">
      <c r="A296" s="26" t="s">
        <v>347</v>
      </c>
      <c r="B296" s="14" t="s">
        <v>348</v>
      </c>
      <c r="C296" s="14">
        <v>127</v>
      </c>
      <c r="D296" s="22" t="s">
        <v>473</v>
      </c>
      <c r="E296" s="22" t="s">
        <v>499</v>
      </c>
      <c r="F296" s="16" t="s">
        <v>351</v>
      </c>
      <c r="G296" s="16" t="s">
        <v>330</v>
      </c>
      <c r="H296" s="16" t="str">
        <f>""&amp;MID(A296,4,2)</f>
        <v>07</v>
      </c>
      <c r="I296" s="17" t="s">
        <v>319</v>
      </c>
      <c r="J296" s="17" t="s">
        <v>331</v>
      </c>
      <c r="K296" s="18" t="s">
        <v>496</v>
      </c>
      <c r="L296" s="19">
        <v>0</v>
      </c>
      <c r="M296" s="16" t="str">
        <f>DEC2HEX(O296,3)</f>
        <v>008</v>
      </c>
      <c r="N296" s="16" t="str">
        <f>_xlfn.CONCAT(G296," ",H296," ",I296," ",J296," ",K296," ",L296," ",M296)</f>
        <v>GL 07 00 01 B4 0 008</v>
      </c>
      <c r="O296" s="14">
        <v>8</v>
      </c>
      <c r="P296" s="11" t="s">
        <v>497</v>
      </c>
    </row>
    <row r="297" spans="1:16" s="12" customFormat="1" ht="15.75">
      <c r="A297" s="26" t="s">
        <v>347</v>
      </c>
      <c r="B297" s="14" t="s">
        <v>348</v>
      </c>
      <c r="C297" s="14">
        <v>128</v>
      </c>
      <c r="D297" s="22" t="s">
        <v>475</v>
      </c>
      <c r="E297" s="22" t="s">
        <v>500</v>
      </c>
      <c r="F297" s="16" t="s">
        <v>351</v>
      </c>
      <c r="G297" s="16" t="s">
        <v>330</v>
      </c>
      <c r="H297" s="16" t="str">
        <f>""&amp;MID(A297,4,2)</f>
        <v>07</v>
      </c>
      <c r="I297" s="17" t="s">
        <v>319</v>
      </c>
      <c r="J297" s="17" t="s">
        <v>331</v>
      </c>
      <c r="K297" s="18" t="s">
        <v>496</v>
      </c>
      <c r="L297" s="19">
        <v>0</v>
      </c>
      <c r="M297" s="16" t="str">
        <f>DEC2HEX(O297,3)</f>
        <v>009</v>
      </c>
      <c r="N297" s="16" t="str">
        <f>_xlfn.CONCAT(G297," ",H297," ",I297," ",J297," ",K297," ",L297," ",M297)</f>
        <v>GL 07 00 01 B4 0 009</v>
      </c>
      <c r="O297" s="14">
        <v>9</v>
      </c>
      <c r="P297" s="11" t="s">
        <v>497</v>
      </c>
    </row>
    <row r="298" spans="1:16" s="12" customFormat="1" ht="15.75">
      <c r="A298" s="26" t="s">
        <v>347</v>
      </c>
      <c r="B298" s="14" t="s">
        <v>348</v>
      </c>
      <c r="C298" s="14">
        <v>129</v>
      </c>
      <c r="D298" s="22" t="s">
        <v>477</v>
      </c>
      <c r="E298" s="22" t="s">
        <v>501</v>
      </c>
      <c r="F298" s="16" t="s">
        <v>351</v>
      </c>
      <c r="G298" s="16" t="s">
        <v>330</v>
      </c>
      <c r="H298" s="16" t="str">
        <f>""&amp;MID(A298,4,2)</f>
        <v>07</v>
      </c>
      <c r="I298" s="17" t="s">
        <v>319</v>
      </c>
      <c r="J298" s="17" t="s">
        <v>331</v>
      </c>
      <c r="K298" s="18" t="s">
        <v>496</v>
      </c>
      <c r="L298" s="19">
        <v>0</v>
      </c>
      <c r="M298" s="16" t="str">
        <f>DEC2HEX(O298,3)</f>
        <v>00A</v>
      </c>
      <c r="N298" s="16" t="str">
        <f>_xlfn.CONCAT(G298," ",H298," ",I298," ",J298," ",K298," ",L298," ",M298)</f>
        <v>GL 07 00 01 B4 0 00A</v>
      </c>
      <c r="O298" s="14">
        <v>10</v>
      </c>
      <c r="P298" s="11" t="s">
        <v>497</v>
      </c>
    </row>
    <row r="299" spans="1:16" s="12" customFormat="1" ht="15.75">
      <c r="A299" s="26" t="s">
        <v>347</v>
      </c>
      <c r="B299" s="14" t="s">
        <v>348</v>
      </c>
      <c r="C299" s="14">
        <v>130</v>
      </c>
      <c r="D299" s="22" t="s">
        <v>479</v>
      </c>
      <c r="E299" s="22" t="s">
        <v>502</v>
      </c>
      <c r="F299" s="16" t="s">
        <v>351</v>
      </c>
      <c r="G299" s="16" t="s">
        <v>330</v>
      </c>
      <c r="H299" s="16" t="str">
        <f>""&amp;MID(A299,4,2)</f>
        <v>07</v>
      </c>
      <c r="I299" s="17" t="s">
        <v>319</v>
      </c>
      <c r="J299" s="17" t="s">
        <v>331</v>
      </c>
      <c r="K299" s="18" t="s">
        <v>496</v>
      </c>
      <c r="L299" s="19">
        <v>0</v>
      </c>
      <c r="M299" s="16" t="str">
        <f>DEC2HEX(O299,3)</f>
        <v>00B</v>
      </c>
      <c r="N299" s="16" t="str">
        <f>_xlfn.CONCAT(G299," ",H299," ",I299," ",J299," ",K299," ",L299," ",M299)</f>
        <v>GL 07 00 01 B4 0 00B</v>
      </c>
      <c r="O299" s="14">
        <v>11</v>
      </c>
      <c r="P299" s="11" t="s">
        <v>497</v>
      </c>
    </row>
    <row r="300" spans="1:16" s="12" customFormat="1" ht="15.75">
      <c r="A300" s="26" t="s">
        <v>347</v>
      </c>
      <c r="B300" s="14" t="s">
        <v>348</v>
      </c>
      <c r="C300" s="14">
        <v>131</v>
      </c>
      <c r="D300" s="22" t="s">
        <v>481</v>
      </c>
      <c r="E300" s="22" t="s">
        <v>503</v>
      </c>
      <c r="F300" s="16" t="s">
        <v>351</v>
      </c>
      <c r="G300" s="16" t="s">
        <v>330</v>
      </c>
      <c r="H300" s="16" t="str">
        <f>""&amp;MID(A300,4,2)</f>
        <v>07</v>
      </c>
      <c r="I300" s="17" t="s">
        <v>319</v>
      </c>
      <c r="J300" s="17" t="s">
        <v>331</v>
      </c>
      <c r="K300" s="18" t="s">
        <v>496</v>
      </c>
      <c r="L300" s="19">
        <v>0</v>
      </c>
      <c r="M300" s="16" t="str">
        <f>DEC2HEX(O300,3)</f>
        <v>00C</v>
      </c>
      <c r="N300" s="16" t="str">
        <f>_xlfn.CONCAT(G300," ",H300," ",I300," ",J300," ",K300," ",L300," ",M300)</f>
        <v>GL 07 00 01 B4 0 00C</v>
      </c>
      <c r="O300" s="14">
        <v>12</v>
      </c>
      <c r="P300" s="11" t="s">
        <v>497</v>
      </c>
    </row>
    <row r="301" spans="1:16" s="12" customFormat="1" ht="15.75">
      <c r="A301" s="26" t="s">
        <v>347</v>
      </c>
      <c r="B301" s="14" t="s">
        <v>348</v>
      </c>
      <c r="C301" s="14">
        <v>132</v>
      </c>
      <c r="D301" s="22" t="s">
        <v>471</v>
      </c>
      <c r="E301" s="22" t="s">
        <v>504</v>
      </c>
      <c r="F301" s="16" t="s">
        <v>351</v>
      </c>
      <c r="G301" s="16" t="s">
        <v>330</v>
      </c>
      <c r="H301" s="16" t="str">
        <f>""&amp;MID(A301,4,2)</f>
        <v>07</v>
      </c>
      <c r="I301" s="17" t="s">
        <v>319</v>
      </c>
      <c r="J301" s="17" t="s">
        <v>420</v>
      </c>
      <c r="K301" s="18" t="s">
        <v>496</v>
      </c>
      <c r="L301" s="19">
        <v>0</v>
      </c>
      <c r="M301" s="16" t="str">
        <f>DEC2HEX(O301,3)</f>
        <v>007</v>
      </c>
      <c r="N301" s="16" t="str">
        <f>_xlfn.CONCAT(G301," ",H301," ",I301," ",J301," ",K301," ",L301," ",M301)</f>
        <v>GL 07 00 02 B4 0 007</v>
      </c>
      <c r="O301" s="14">
        <v>7</v>
      </c>
      <c r="P301" s="11" t="s">
        <v>497</v>
      </c>
    </row>
    <row r="302" spans="1:16" s="12" customFormat="1" ht="15.75">
      <c r="A302" s="26" t="s">
        <v>347</v>
      </c>
      <c r="B302" s="14" t="s">
        <v>348</v>
      </c>
      <c r="C302" s="14">
        <v>133</v>
      </c>
      <c r="D302" s="22" t="s">
        <v>473</v>
      </c>
      <c r="E302" s="22" t="s">
        <v>505</v>
      </c>
      <c r="F302" s="16" t="s">
        <v>351</v>
      </c>
      <c r="G302" s="16" t="s">
        <v>330</v>
      </c>
      <c r="H302" s="16" t="str">
        <f>""&amp;MID(A302,4,2)</f>
        <v>07</v>
      </c>
      <c r="I302" s="17" t="s">
        <v>319</v>
      </c>
      <c r="J302" s="17" t="s">
        <v>420</v>
      </c>
      <c r="K302" s="18" t="s">
        <v>496</v>
      </c>
      <c r="L302" s="19">
        <v>0</v>
      </c>
      <c r="M302" s="16" t="str">
        <f>DEC2HEX(O302,3)</f>
        <v>008</v>
      </c>
      <c r="N302" s="16" t="str">
        <f>_xlfn.CONCAT(G302," ",H302," ",I302," ",J302," ",K302," ",L302," ",M302)</f>
        <v>GL 07 00 02 B4 0 008</v>
      </c>
      <c r="O302" s="14">
        <v>8</v>
      </c>
      <c r="P302" s="11" t="s">
        <v>497</v>
      </c>
    </row>
    <row r="303" spans="1:16" s="12" customFormat="1" ht="15.75">
      <c r="A303" s="26" t="s">
        <v>347</v>
      </c>
      <c r="B303" s="14" t="s">
        <v>348</v>
      </c>
      <c r="C303" s="14">
        <v>134</v>
      </c>
      <c r="D303" s="22" t="s">
        <v>475</v>
      </c>
      <c r="E303" s="22" t="s">
        <v>506</v>
      </c>
      <c r="F303" s="16" t="s">
        <v>351</v>
      </c>
      <c r="G303" s="16" t="s">
        <v>330</v>
      </c>
      <c r="H303" s="16" t="str">
        <f>""&amp;MID(A303,4,2)</f>
        <v>07</v>
      </c>
      <c r="I303" s="17" t="s">
        <v>319</v>
      </c>
      <c r="J303" s="17" t="s">
        <v>420</v>
      </c>
      <c r="K303" s="18" t="s">
        <v>496</v>
      </c>
      <c r="L303" s="19">
        <v>0</v>
      </c>
      <c r="M303" s="16" t="str">
        <f>DEC2HEX(O303,3)</f>
        <v>009</v>
      </c>
      <c r="N303" s="16" t="str">
        <f>_xlfn.CONCAT(G303," ",H303," ",I303," ",J303," ",K303," ",L303," ",M303)</f>
        <v>GL 07 00 02 B4 0 009</v>
      </c>
      <c r="O303" s="14">
        <v>9</v>
      </c>
      <c r="P303" s="11" t="s">
        <v>497</v>
      </c>
    </row>
    <row r="304" spans="1:16" s="12" customFormat="1" ht="15.75">
      <c r="A304" s="26" t="s">
        <v>347</v>
      </c>
      <c r="B304" s="14" t="s">
        <v>348</v>
      </c>
      <c r="C304" s="14">
        <v>135</v>
      </c>
      <c r="D304" s="22" t="s">
        <v>477</v>
      </c>
      <c r="E304" s="22" t="s">
        <v>507</v>
      </c>
      <c r="F304" s="16" t="s">
        <v>351</v>
      </c>
      <c r="G304" s="16" t="s">
        <v>330</v>
      </c>
      <c r="H304" s="16" t="str">
        <f>""&amp;MID(A304,4,2)</f>
        <v>07</v>
      </c>
      <c r="I304" s="17" t="s">
        <v>319</v>
      </c>
      <c r="J304" s="17" t="s">
        <v>420</v>
      </c>
      <c r="K304" s="18" t="s">
        <v>496</v>
      </c>
      <c r="L304" s="19">
        <v>0</v>
      </c>
      <c r="M304" s="16" t="str">
        <f>DEC2HEX(O304,3)</f>
        <v>00A</v>
      </c>
      <c r="N304" s="16" t="str">
        <f>_xlfn.CONCAT(G304," ",H304," ",I304," ",J304," ",K304," ",L304," ",M304)</f>
        <v>GL 07 00 02 B4 0 00A</v>
      </c>
      <c r="O304" s="14">
        <v>10</v>
      </c>
      <c r="P304" s="11" t="s">
        <v>497</v>
      </c>
    </row>
    <row r="305" spans="1:16" s="12" customFormat="1" ht="15.75">
      <c r="A305" s="26" t="s">
        <v>347</v>
      </c>
      <c r="B305" s="14" t="s">
        <v>348</v>
      </c>
      <c r="C305" s="14">
        <v>136</v>
      </c>
      <c r="D305" s="22" t="s">
        <v>479</v>
      </c>
      <c r="E305" s="22" t="s">
        <v>508</v>
      </c>
      <c r="F305" s="16" t="s">
        <v>351</v>
      </c>
      <c r="G305" s="16" t="s">
        <v>330</v>
      </c>
      <c r="H305" s="16" t="str">
        <f>""&amp;MID(A305,4,2)</f>
        <v>07</v>
      </c>
      <c r="I305" s="17" t="s">
        <v>319</v>
      </c>
      <c r="J305" s="17" t="s">
        <v>420</v>
      </c>
      <c r="K305" s="18" t="s">
        <v>496</v>
      </c>
      <c r="L305" s="19">
        <v>0</v>
      </c>
      <c r="M305" s="16" t="str">
        <f>DEC2HEX(O305,3)</f>
        <v>00B</v>
      </c>
      <c r="N305" s="16" t="str">
        <f>_xlfn.CONCAT(G305," ",H305," ",I305," ",J305," ",K305," ",L305," ",M305)</f>
        <v>GL 07 00 02 B4 0 00B</v>
      </c>
      <c r="O305" s="14">
        <v>11</v>
      </c>
      <c r="P305" s="11" t="s">
        <v>497</v>
      </c>
    </row>
    <row r="306" spans="1:16" s="12" customFormat="1" ht="15.75">
      <c r="A306" s="26" t="s">
        <v>347</v>
      </c>
      <c r="B306" s="14" t="s">
        <v>348</v>
      </c>
      <c r="C306" s="14">
        <v>137</v>
      </c>
      <c r="D306" s="22" t="s">
        <v>481</v>
      </c>
      <c r="E306" s="22" t="s">
        <v>509</v>
      </c>
      <c r="F306" s="16" t="s">
        <v>351</v>
      </c>
      <c r="G306" s="16" t="s">
        <v>330</v>
      </c>
      <c r="H306" s="16" t="str">
        <f>""&amp;MID(A306,4,2)</f>
        <v>07</v>
      </c>
      <c r="I306" s="17" t="s">
        <v>319</v>
      </c>
      <c r="J306" s="17" t="s">
        <v>420</v>
      </c>
      <c r="K306" s="18" t="s">
        <v>496</v>
      </c>
      <c r="L306" s="19">
        <v>0</v>
      </c>
      <c r="M306" s="16" t="str">
        <f>DEC2HEX(O306,3)</f>
        <v>00C</v>
      </c>
      <c r="N306" s="16" t="str">
        <f>_xlfn.CONCAT(G306," ",H306," ",I306," ",J306," ",K306," ",L306," ",M306)</f>
        <v>GL 07 00 02 B4 0 00C</v>
      </c>
      <c r="O306" s="14">
        <v>12</v>
      </c>
      <c r="P306" s="11" t="s">
        <v>497</v>
      </c>
    </row>
    <row r="307" spans="1:16" s="12" customFormat="1" ht="15.75">
      <c r="A307" s="26" t="s">
        <v>347</v>
      </c>
      <c r="B307" s="14" t="s">
        <v>348</v>
      </c>
      <c r="C307" s="14">
        <v>138</v>
      </c>
      <c r="D307" s="22" t="s">
        <v>471</v>
      </c>
      <c r="E307" s="22" t="s">
        <v>510</v>
      </c>
      <c r="F307" s="16" t="s">
        <v>351</v>
      </c>
      <c r="G307" s="16" t="s">
        <v>330</v>
      </c>
      <c r="H307" s="16" t="str">
        <f>""&amp;MID(A307,4,2)</f>
        <v>07</v>
      </c>
      <c r="I307" s="17" t="s">
        <v>319</v>
      </c>
      <c r="J307" s="17" t="s">
        <v>443</v>
      </c>
      <c r="K307" s="18" t="s">
        <v>496</v>
      </c>
      <c r="L307" s="19">
        <v>0</v>
      </c>
      <c r="M307" s="16" t="str">
        <f>DEC2HEX(O307,3)</f>
        <v>007</v>
      </c>
      <c r="N307" s="16" t="str">
        <f>_xlfn.CONCAT(G307," ",H307," ",I307," ",J307," ",K307," ",L307," ",M307)</f>
        <v>GL 07 00 03 B4 0 007</v>
      </c>
      <c r="O307" s="14">
        <v>7</v>
      </c>
      <c r="P307" s="11" t="s">
        <v>497</v>
      </c>
    </row>
    <row r="308" spans="1:16" s="12" customFormat="1" ht="15.75">
      <c r="A308" s="26" t="s">
        <v>347</v>
      </c>
      <c r="B308" s="14" t="s">
        <v>348</v>
      </c>
      <c r="C308" s="14">
        <v>139</v>
      </c>
      <c r="D308" s="22" t="s">
        <v>473</v>
      </c>
      <c r="E308" s="22" t="s">
        <v>511</v>
      </c>
      <c r="F308" s="16" t="s">
        <v>351</v>
      </c>
      <c r="G308" s="16" t="s">
        <v>330</v>
      </c>
      <c r="H308" s="16" t="str">
        <f>""&amp;MID(A308,4,2)</f>
        <v>07</v>
      </c>
      <c r="I308" s="17" t="s">
        <v>319</v>
      </c>
      <c r="J308" s="17" t="s">
        <v>443</v>
      </c>
      <c r="K308" s="18" t="s">
        <v>496</v>
      </c>
      <c r="L308" s="19">
        <v>0</v>
      </c>
      <c r="M308" s="16" t="str">
        <f>DEC2HEX(O308,3)</f>
        <v>008</v>
      </c>
      <c r="N308" s="16" t="str">
        <f>_xlfn.CONCAT(G308," ",H308," ",I308," ",J308," ",K308," ",L308," ",M308)</f>
        <v>GL 07 00 03 B4 0 008</v>
      </c>
      <c r="O308" s="14">
        <v>8</v>
      </c>
      <c r="P308" s="11" t="s">
        <v>497</v>
      </c>
    </row>
    <row r="309" spans="1:16" s="12" customFormat="1" ht="15.75">
      <c r="A309" s="26" t="s">
        <v>347</v>
      </c>
      <c r="B309" s="14" t="s">
        <v>348</v>
      </c>
      <c r="C309" s="14">
        <v>140</v>
      </c>
      <c r="D309" s="22" t="s">
        <v>475</v>
      </c>
      <c r="E309" s="22" t="s">
        <v>512</v>
      </c>
      <c r="F309" s="16" t="s">
        <v>351</v>
      </c>
      <c r="G309" s="16" t="s">
        <v>330</v>
      </c>
      <c r="H309" s="16" t="str">
        <f>""&amp;MID(A309,4,2)</f>
        <v>07</v>
      </c>
      <c r="I309" s="17" t="s">
        <v>319</v>
      </c>
      <c r="J309" s="17" t="s">
        <v>443</v>
      </c>
      <c r="K309" s="18" t="s">
        <v>496</v>
      </c>
      <c r="L309" s="19">
        <v>0</v>
      </c>
      <c r="M309" s="16" t="str">
        <f>DEC2HEX(O309,3)</f>
        <v>009</v>
      </c>
      <c r="N309" s="16" t="str">
        <f>_xlfn.CONCAT(G309," ",H309," ",I309," ",J309," ",K309," ",L309," ",M309)</f>
        <v>GL 07 00 03 B4 0 009</v>
      </c>
      <c r="O309" s="14">
        <v>9</v>
      </c>
      <c r="P309" s="11" t="s">
        <v>497</v>
      </c>
    </row>
    <row r="310" spans="1:16" s="12" customFormat="1" ht="15.75">
      <c r="A310" s="26" t="s">
        <v>347</v>
      </c>
      <c r="B310" s="14" t="s">
        <v>348</v>
      </c>
      <c r="C310" s="14">
        <v>141</v>
      </c>
      <c r="D310" s="22" t="s">
        <v>477</v>
      </c>
      <c r="E310" s="22" t="s">
        <v>513</v>
      </c>
      <c r="F310" s="16" t="s">
        <v>351</v>
      </c>
      <c r="G310" s="16" t="s">
        <v>330</v>
      </c>
      <c r="H310" s="16" t="str">
        <f>""&amp;MID(A310,4,2)</f>
        <v>07</v>
      </c>
      <c r="I310" s="17" t="s">
        <v>319</v>
      </c>
      <c r="J310" s="17" t="s">
        <v>443</v>
      </c>
      <c r="K310" s="18" t="s">
        <v>496</v>
      </c>
      <c r="L310" s="19">
        <v>0</v>
      </c>
      <c r="M310" s="16" t="str">
        <f>DEC2HEX(O310,3)</f>
        <v>00A</v>
      </c>
      <c r="N310" s="16" t="str">
        <f>_xlfn.CONCAT(G310," ",H310," ",I310," ",J310," ",K310," ",L310," ",M310)</f>
        <v>GL 07 00 03 B4 0 00A</v>
      </c>
      <c r="O310" s="14">
        <v>10</v>
      </c>
      <c r="P310" s="11" t="s">
        <v>497</v>
      </c>
    </row>
    <row r="311" spans="1:16" s="12" customFormat="1" ht="15.75">
      <c r="A311" s="26" t="s">
        <v>347</v>
      </c>
      <c r="B311" s="14" t="s">
        <v>348</v>
      </c>
      <c r="C311" s="14">
        <v>142</v>
      </c>
      <c r="D311" s="22" t="s">
        <v>479</v>
      </c>
      <c r="E311" s="22" t="s">
        <v>514</v>
      </c>
      <c r="F311" s="16" t="s">
        <v>351</v>
      </c>
      <c r="G311" s="16" t="s">
        <v>330</v>
      </c>
      <c r="H311" s="16" t="str">
        <f>""&amp;MID(A311,4,2)</f>
        <v>07</v>
      </c>
      <c r="I311" s="17" t="s">
        <v>319</v>
      </c>
      <c r="J311" s="17" t="s">
        <v>443</v>
      </c>
      <c r="K311" s="18" t="s">
        <v>496</v>
      </c>
      <c r="L311" s="19">
        <v>0</v>
      </c>
      <c r="M311" s="16" t="str">
        <f>DEC2HEX(O311,3)</f>
        <v>00B</v>
      </c>
      <c r="N311" s="16" t="str">
        <f>_xlfn.CONCAT(G311," ",H311," ",I311," ",J311," ",K311," ",L311," ",M311)</f>
        <v>GL 07 00 03 B4 0 00B</v>
      </c>
      <c r="O311" s="14">
        <v>11</v>
      </c>
      <c r="P311" s="11" t="s">
        <v>497</v>
      </c>
    </row>
    <row r="312" spans="1:16" s="12" customFormat="1" ht="15.75">
      <c r="A312" s="26" t="s">
        <v>347</v>
      </c>
      <c r="B312" s="14" t="s">
        <v>348</v>
      </c>
      <c r="C312" s="14">
        <v>143</v>
      </c>
      <c r="D312" s="22" t="s">
        <v>481</v>
      </c>
      <c r="E312" s="22" t="s">
        <v>515</v>
      </c>
      <c r="F312" s="16" t="s">
        <v>351</v>
      </c>
      <c r="G312" s="16" t="s">
        <v>330</v>
      </c>
      <c r="H312" s="16" t="str">
        <f>""&amp;MID(A312,4,2)</f>
        <v>07</v>
      </c>
      <c r="I312" s="17" t="s">
        <v>319</v>
      </c>
      <c r="J312" s="17" t="s">
        <v>443</v>
      </c>
      <c r="K312" s="18" t="s">
        <v>496</v>
      </c>
      <c r="L312" s="19">
        <v>0</v>
      </c>
      <c r="M312" s="16" t="str">
        <f>DEC2HEX(O312,3)</f>
        <v>00C</v>
      </c>
      <c r="N312" s="16" t="str">
        <f>_xlfn.CONCAT(G312," ",H312," ",I312," ",J312," ",K312," ",L312," ",M312)</f>
        <v>GL 07 00 03 B4 0 00C</v>
      </c>
      <c r="O312" s="14">
        <v>12</v>
      </c>
      <c r="P312" s="11" t="s">
        <v>497</v>
      </c>
    </row>
  </sheetData>
  <sortState xmlns:xlrd2="http://schemas.microsoft.com/office/spreadsheetml/2017/richdata2" ref="A2:P312">
    <sortCondition ref="A2:A312"/>
    <sortCondition ref="C2:C312"/>
  </sortState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6" sqref="B6"/>
    </sheetView>
  </sheetViews>
  <sheetFormatPr defaultRowHeight="15"/>
  <cols>
    <col min="1" max="1" width="42.28515625" bestFit="1" customWidth="1"/>
    <col min="2" max="2" width="26" bestFit="1" customWidth="1"/>
  </cols>
  <sheetData>
    <row r="1" spans="1:2" ht="15.75">
      <c r="A1" s="1" t="s">
        <v>157</v>
      </c>
      <c r="B1" s="4" t="s">
        <v>469</v>
      </c>
    </row>
    <row r="2" spans="1:2">
      <c r="A2" s="1" t="s">
        <v>164</v>
      </c>
      <c r="B2" s="2" t="s">
        <v>361</v>
      </c>
    </row>
    <row r="3" spans="1:2" ht="15.75">
      <c r="A3" s="1" t="s">
        <v>167</v>
      </c>
      <c r="B3" s="4" t="s">
        <v>470</v>
      </c>
    </row>
    <row r="4" spans="1:2">
      <c r="A4" s="1" t="s">
        <v>170</v>
      </c>
      <c r="B4" s="2" t="s">
        <v>364</v>
      </c>
    </row>
    <row r="5" spans="1:2">
      <c r="A5" s="1" t="s">
        <v>173</v>
      </c>
      <c r="B5" s="2" t="s">
        <v>367</v>
      </c>
    </row>
    <row r="6" spans="1:2">
      <c r="A6" s="1" t="s">
        <v>176</v>
      </c>
      <c r="B6" s="2" t="s">
        <v>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opLeftCell="A26" workbookViewId="0">
      <selection activeCell="H17" sqref="H17"/>
    </sheetView>
  </sheetViews>
  <sheetFormatPr defaultColWidth="8.7109375" defaultRowHeight="15"/>
  <cols>
    <col min="1" max="1" width="36.140625" customWidth="1"/>
    <col min="2" max="2" width="18.42578125" bestFit="1" customWidth="1"/>
  </cols>
  <sheetData>
    <row r="1" spans="1:3">
      <c r="A1" s="1" t="s">
        <v>79</v>
      </c>
      <c r="B1" s="2" t="s">
        <v>361</v>
      </c>
    </row>
    <row r="2" spans="1:3">
      <c r="A2" s="1" t="s">
        <v>82</v>
      </c>
      <c r="B2" s="20" t="s">
        <v>364</v>
      </c>
    </row>
    <row r="3" spans="1:3">
      <c r="A3" s="1" t="s">
        <v>86</v>
      </c>
      <c r="B3" s="2" t="s">
        <v>366</v>
      </c>
    </row>
    <row r="4" spans="1:3">
      <c r="A4" s="1" t="s">
        <v>94</v>
      </c>
      <c r="B4" s="2" t="s">
        <v>367</v>
      </c>
    </row>
    <row r="5" spans="1:3">
      <c r="A5" s="1" t="s">
        <v>102</v>
      </c>
      <c r="B5" s="23" t="s">
        <v>562</v>
      </c>
      <c r="C5" s="20" t="s">
        <v>563</v>
      </c>
    </row>
    <row r="6" spans="1:3">
      <c r="A6" s="1" t="s">
        <v>104</v>
      </c>
      <c r="B6" s="23" t="s">
        <v>564</v>
      </c>
      <c r="C6" s="20" t="s">
        <v>563</v>
      </c>
    </row>
    <row r="7" spans="1:3">
      <c r="A7" s="1" t="s">
        <v>118</v>
      </c>
      <c r="B7" s="23" t="s">
        <v>565</v>
      </c>
      <c r="C7" s="20" t="s">
        <v>563</v>
      </c>
    </row>
    <row r="8" spans="1:3">
      <c r="A8" s="1" t="s">
        <v>119</v>
      </c>
      <c r="B8" s="23" t="s">
        <v>566</v>
      </c>
      <c r="C8" s="20" t="s">
        <v>563</v>
      </c>
    </row>
    <row r="9" spans="1:3">
      <c r="C9" s="20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selection activeCell="B11" sqref="B11:B15"/>
    </sheetView>
  </sheetViews>
  <sheetFormatPr defaultColWidth="8.7109375" defaultRowHeight="15"/>
  <cols>
    <col min="1" max="1" width="58.85546875" customWidth="1"/>
    <col min="2" max="2" width="27" bestFit="1" customWidth="1"/>
    <col min="4" max="4" width="22.28515625" bestFit="1" customWidth="1"/>
  </cols>
  <sheetData>
    <row r="1" spans="1:5">
      <c r="A1" s="3" t="s">
        <v>316</v>
      </c>
      <c r="B1" s="3" t="s">
        <v>567</v>
      </c>
    </row>
    <row r="2" spans="1:5">
      <c r="A2" s="1" t="s">
        <v>26</v>
      </c>
      <c r="B2" s="2" t="s">
        <v>328</v>
      </c>
      <c r="D2" s="2"/>
      <c r="E2" s="2"/>
    </row>
    <row r="3" spans="1:5">
      <c r="A3" s="1" t="s">
        <v>32</v>
      </c>
      <c r="B3" s="2" t="s">
        <v>333</v>
      </c>
      <c r="D3" s="2"/>
      <c r="E3" s="2"/>
    </row>
    <row r="4" spans="1:5">
      <c r="A4" s="1" t="s">
        <v>35</v>
      </c>
      <c r="B4" s="2" t="s">
        <v>334</v>
      </c>
      <c r="D4" s="2"/>
      <c r="E4" s="2"/>
    </row>
    <row r="5" spans="1:5">
      <c r="A5" s="1" t="s">
        <v>38</v>
      </c>
      <c r="B5" s="2" t="s">
        <v>335</v>
      </c>
      <c r="D5" s="2"/>
      <c r="E5" s="2"/>
    </row>
    <row r="6" spans="1:5">
      <c r="A6" s="1" t="s">
        <v>41</v>
      </c>
      <c r="B6" s="2" t="s">
        <v>336</v>
      </c>
      <c r="D6" s="2"/>
      <c r="E6" s="2"/>
    </row>
    <row r="7" spans="1:5">
      <c r="A7" s="1" t="s">
        <v>44</v>
      </c>
      <c r="B7" s="2" t="s">
        <v>337</v>
      </c>
      <c r="D7" s="2"/>
      <c r="E7" s="2"/>
    </row>
    <row r="8" spans="1:5">
      <c r="A8" s="1" t="s">
        <v>47</v>
      </c>
      <c r="B8" s="20" t="s">
        <v>338</v>
      </c>
      <c r="D8" s="2"/>
      <c r="E8" s="2"/>
    </row>
    <row r="9" spans="1:5" ht="15.75">
      <c r="A9" s="1" t="s">
        <v>50</v>
      </c>
      <c r="B9" s="5" t="s">
        <v>339</v>
      </c>
      <c r="D9" s="2"/>
      <c r="E9" s="2"/>
    </row>
    <row r="10" spans="1:5" ht="15.75">
      <c r="A10" s="1" t="s">
        <v>55</v>
      </c>
      <c r="B10" s="5" t="s">
        <v>341</v>
      </c>
    </row>
    <row r="11" spans="1:5">
      <c r="A11" s="1" t="s">
        <v>68</v>
      </c>
      <c r="B11" s="20" t="s">
        <v>342</v>
      </c>
    </row>
    <row r="12" spans="1:5">
      <c r="A12" s="1" t="s">
        <v>70</v>
      </c>
      <c r="B12" s="23" t="s">
        <v>343</v>
      </c>
    </row>
    <row r="13" spans="1:5">
      <c r="A13" s="1" t="s">
        <v>72</v>
      </c>
      <c r="B13" s="20" t="s">
        <v>344</v>
      </c>
    </row>
    <row r="14" spans="1:5">
      <c r="A14" s="1" t="s">
        <v>74</v>
      </c>
      <c r="B14" s="20" t="s">
        <v>345</v>
      </c>
    </row>
    <row r="15" spans="1:5">
      <c r="A15" s="1" t="s">
        <v>76</v>
      </c>
      <c r="B15" s="20" t="s">
        <v>346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B4" sqref="B4"/>
    </sheetView>
  </sheetViews>
  <sheetFormatPr defaultRowHeight="15"/>
  <cols>
    <col min="1" max="1" width="30.140625" bestFit="1" customWidth="1"/>
    <col min="2" max="2" width="18.42578125" bestFit="1" customWidth="1"/>
  </cols>
  <sheetData>
    <row r="1" spans="1:2">
      <c r="A1" s="1" t="s">
        <v>291</v>
      </c>
      <c r="B1" s="2" t="s">
        <v>361</v>
      </c>
    </row>
    <row r="2" spans="1:2">
      <c r="A2" s="1" t="s">
        <v>300</v>
      </c>
      <c r="B2" s="2" t="s">
        <v>367</v>
      </c>
    </row>
    <row r="3" spans="1:2">
      <c r="A3" s="1" t="s">
        <v>304</v>
      </c>
      <c r="B3" s="20" t="s">
        <v>364</v>
      </c>
    </row>
    <row r="4" spans="1:2">
      <c r="A4" s="1" t="s">
        <v>308</v>
      </c>
      <c r="B4" s="2" t="s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4"/>
  <sheetViews>
    <sheetView topLeftCell="A6" zoomScale="103" workbookViewId="0">
      <selection activeCell="B23" sqref="B23:B24"/>
    </sheetView>
  </sheetViews>
  <sheetFormatPr defaultRowHeight="15"/>
  <cols>
    <col min="1" max="1" width="55.140625" bestFit="1" customWidth="1"/>
    <col min="2" max="2" width="24.42578125" bestFit="1" customWidth="1"/>
  </cols>
  <sheetData>
    <row r="1" spans="1:2" ht="15.75">
      <c r="A1" s="1" t="s">
        <v>180</v>
      </c>
      <c r="B1" s="4" t="s">
        <v>568</v>
      </c>
    </row>
    <row r="2" spans="1:2" ht="15.75">
      <c r="A2" s="1" t="s">
        <v>183</v>
      </c>
      <c r="B2" s="4" t="s">
        <v>569</v>
      </c>
    </row>
    <row r="3" spans="1:2">
      <c r="A3" s="1" t="s">
        <v>189</v>
      </c>
      <c r="B3" s="20" t="s">
        <v>570</v>
      </c>
    </row>
    <row r="4" spans="1:2">
      <c r="A4" s="1" t="s">
        <v>191</v>
      </c>
      <c r="B4" s="20" t="s">
        <v>571</v>
      </c>
    </row>
    <row r="5" spans="1:2" ht="15.75">
      <c r="A5" s="1" t="s">
        <v>197</v>
      </c>
      <c r="B5" s="4" t="s">
        <v>572</v>
      </c>
    </row>
    <row r="6" spans="1:2" ht="15.75">
      <c r="A6" s="1" t="s">
        <v>198</v>
      </c>
      <c r="B6" s="4" t="s">
        <v>573</v>
      </c>
    </row>
    <row r="7" spans="1:2" ht="15.75">
      <c r="A7" s="1" t="s">
        <v>201</v>
      </c>
      <c r="B7" s="5" t="s">
        <v>574</v>
      </c>
    </row>
    <row r="8" spans="1:2" ht="15.75">
      <c r="A8" s="1" t="s">
        <v>202</v>
      </c>
      <c r="B8" s="5" t="s">
        <v>575</v>
      </c>
    </row>
    <row r="9" spans="1:2" ht="15.75">
      <c r="A9" s="1" t="s">
        <v>205</v>
      </c>
      <c r="B9" s="4" t="s">
        <v>576</v>
      </c>
    </row>
    <row r="10" spans="1:2" ht="15.75">
      <c r="A10" s="1" t="s">
        <v>206</v>
      </c>
      <c r="B10" s="4" t="s">
        <v>577</v>
      </c>
    </row>
    <row r="11" spans="1:2" ht="15.75">
      <c r="A11" s="1" t="s">
        <v>209</v>
      </c>
      <c r="B11" s="4" t="s">
        <v>518</v>
      </c>
    </row>
    <row r="12" spans="1:2" ht="15.75">
      <c r="A12" s="1" t="s">
        <v>211</v>
      </c>
      <c r="B12" s="4" t="s">
        <v>519</v>
      </c>
    </row>
    <row r="13" spans="1:2" ht="15.75">
      <c r="A13" s="1" t="s">
        <v>217</v>
      </c>
      <c r="B13" s="4" t="s">
        <v>578</v>
      </c>
    </row>
    <row r="14" spans="1:2" ht="15.75">
      <c r="A14" s="1" t="s">
        <v>218</v>
      </c>
      <c r="B14" s="4" t="s">
        <v>579</v>
      </c>
    </row>
    <row r="15" spans="1:2" ht="15.75">
      <c r="A15" s="1" t="s">
        <v>221</v>
      </c>
      <c r="B15" s="4" t="s">
        <v>580</v>
      </c>
    </row>
    <row r="16" spans="1:2" ht="15.75">
      <c r="A16" s="1" t="s">
        <v>222</v>
      </c>
      <c r="B16" s="4" t="s">
        <v>581</v>
      </c>
    </row>
    <row r="17" spans="1:2" ht="15.75">
      <c r="A17" s="1" t="s">
        <v>225</v>
      </c>
      <c r="B17" s="4" t="s">
        <v>582</v>
      </c>
    </row>
    <row r="18" spans="1:2" ht="15.75">
      <c r="A18" s="1" t="s">
        <v>227</v>
      </c>
      <c r="B18" s="4" t="s">
        <v>583</v>
      </c>
    </row>
    <row r="19" spans="1:2" ht="15.75">
      <c r="A19" s="1" t="s">
        <v>229</v>
      </c>
      <c r="B19" s="4" t="s">
        <v>584</v>
      </c>
    </row>
    <row r="20" spans="1:2" ht="15.75">
      <c r="A20" s="1" t="s">
        <v>231</v>
      </c>
      <c r="B20" s="4" t="s">
        <v>585</v>
      </c>
    </row>
    <row r="21" spans="1:2" ht="15.75">
      <c r="A21" s="1" t="s">
        <v>241</v>
      </c>
      <c r="B21" s="4" t="s">
        <v>586</v>
      </c>
    </row>
    <row r="22" spans="1:2" ht="15.75">
      <c r="A22" s="1" t="s">
        <v>242</v>
      </c>
      <c r="B22" s="4" t="s">
        <v>587</v>
      </c>
    </row>
    <row r="23" spans="1:2" ht="15.75">
      <c r="A23" s="1" t="s">
        <v>243</v>
      </c>
      <c r="B23" s="4" t="s">
        <v>588</v>
      </c>
    </row>
    <row r="24" spans="1:2" ht="15.75">
      <c r="A24" s="1" t="s">
        <v>244</v>
      </c>
      <c r="B24" s="4" t="s">
        <v>589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B6" sqref="B6"/>
    </sheetView>
  </sheetViews>
  <sheetFormatPr defaultColWidth="8.7109375" defaultRowHeight="15"/>
  <cols>
    <col min="1" max="1" width="42.5703125" customWidth="1"/>
    <col min="2" max="2" width="27.28515625" bestFit="1" customWidth="1"/>
    <col min="3" max="3" width="26" bestFit="1" customWidth="1"/>
  </cols>
  <sheetData>
    <row r="1" spans="1:3">
      <c r="A1" s="3" t="s">
        <v>316</v>
      </c>
      <c r="B1" s="3" t="s">
        <v>590</v>
      </c>
    </row>
    <row r="2" spans="1:3" ht="15.75">
      <c r="A2" s="1" t="s">
        <v>131</v>
      </c>
      <c r="B2" s="4" t="s">
        <v>469</v>
      </c>
    </row>
    <row r="3" spans="1:3">
      <c r="A3" s="1" t="s">
        <v>139</v>
      </c>
      <c r="B3" s="2" t="s">
        <v>361</v>
      </c>
    </row>
    <row r="4" spans="1:3" ht="15.75">
      <c r="A4" s="7" t="s">
        <v>143</v>
      </c>
      <c r="B4" s="5" t="s">
        <v>470</v>
      </c>
      <c r="C4" s="4"/>
    </row>
    <row r="5" spans="1:3">
      <c r="A5" s="7" t="s">
        <v>146</v>
      </c>
      <c r="B5" s="23" t="s">
        <v>364</v>
      </c>
    </row>
    <row r="6" spans="1:3">
      <c r="A6" s="1" t="s">
        <v>150</v>
      </c>
      <c r="B6" s="2" t="s">
        <v>367</v>
      </c>
    </row>
    <row r="7" spans="1:3">
      <c r="A7" s="1" t="s">
        <v>153</v>
      </c>
      <c r="B7" s="2" t="s">
        <v>366</v>
      </c>
    </row>
    <row r="9" spans="1:3">
      <c r="C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Equipment Summary</vt:lpstr>
      <vt:lpstr>Terminal_Details</vt:lpstr>
      <vt:lpstr>Name_Handler</vt:lpstr>
      <vt:lpstr>Condenser_pump</vt:lpstr>
      <vt:lpstr>Chiller</vt:lpstr>
      <vt:lpstr>Header</vt:lpstr>
      <vt:lpstr>Exhaust_Fan</vt:lpstr>
      <vt:lpstr>Cooling_Tower</vt:lpstr>
      <vt:lpstr>Primary_pump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vithubhavani</dc:creator>
  <cp:keywords/>
  <dc:description/>
  <cp:lastModifiedBy>Santhosh S</cp:lastModifiedBy>
  <cp:revision/>
  <dcterms:created xsi:type="dcterms:W3CDTF">2026-04-08T13:24:00Z</dcterms:created>
  <dcterms:modified xsi:type="dcterms:W3CDTF">2026-05-05T11:57:59Z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447867B470B849F6B79366E45AC3A7F5_13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